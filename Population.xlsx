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3916B42-CF60-45DA-8A86-C202DE36ACF1}" xr6:coauthVersionLast="47" xr6:coauthVersionMax="47" xr10:uidLastSave="{00000000-0000-0000-0000-000000000000}"/>
  <bookViews>
    <workbookView xWindow="-28920" yWindow="2490" windowWidth="29040" windowHeight="15720" xr2:uid="{B43DABA2-8025-4893-9154-8BF8E2B32123}"/>
  </bookViews>
  <sheets>
    <sheet name="Population2019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</calcChain>
</file>

<file path=xl/sharedStrings.xml><?xml version="1.0" encoding="utf-8"?>
<sst xmlns="http://schemas.openxmlformats.org/spreadsheetml/2006/main" count="2813" uniqueCount="480">
  <si>
    <t>GeoID</t>
  </si>
  <si>
    <t>GeoID_Description</t>
  </si>
  <si>
    <t>GeoID_Name</t>
  </si>
  <si>
    <t>SitsinState</t>
  </si>
  <si>
    <t>GeoID_Formatted</t>
  </si>
  <si>
    <t>cpop</t>
  </si>
  <si>
    <t>TimeFrame</t>
  </si>
  <si>
    <t>GeoVintage</t>
  </si>
  <si>
    <t>Source</t>
  </si>
  <si>
    <t>Location</t>
  </si>
  <si>
    <t>City</t>
  </si>
  <si>
    <t>Aguila</t>
  </si>
  <si>
    <t>AZ</t>
  </si>
  <si>
    <t>2019-2023</t>
  </si>
  <si>
    <t>Census</t>
  </si>
  <si>
    <t>Arizona (State)</t>
  </si>
  <si>
    <t>Ajo</t>
  </si>
  <si>
    <t>Ak Chin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</si>
  <si>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</si>
  <si>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</si>
  <si>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</si>
  <si>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</si>
  <si>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</si>
  <si>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</si>
  <si>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</si>
  <si>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</si>
  <si>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</si>
  <si>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</si>
  <si>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</si>
  <si>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</si>
  <si>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</si>
  <si>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</si>
  <si>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</si>
  <si>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</si>
  <si>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</si>
  <si>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</si>
  <si>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</si>
  <si>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</si>
  <si>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</si>
  <si>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</si>
  <si>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</si>
  <si>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</si>
  <si>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</si>
  <si>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</si>
  <si>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</si>
  <si>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</si>
  <si>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</si>
  <si>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</si>
  <si>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</si>
  <si>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</si>
  <si>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</si>
  <si>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</si>
  <si>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</si>
  <si>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</si>
  <si>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</si>
  <si>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</si>
  <si>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</si>
  <si>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</si>
  <si>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</si>
  <si>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</si>
  <si>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</si>
  <si>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</si>
  <si>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</si>
  <si>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</si>
  <si>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</si>
  <si>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</si>
  <si>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</si>
  <si>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</si>
  <si>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</si>
  <si>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</si>
  <si>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</si>
  <si>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</si>
  <si>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</si>
  <si>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</si>
  <si>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</si>
  <si>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</si>
  <si>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</si>
  <si>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</si>
  <si>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</si>
  <si>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</si>
  <si>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</si>
  <si>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</si>
  <si>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</si>
  <si>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</si>
  <si>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</si>
  <si>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</si>
  <si>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</si>
  <si>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</si>
  <si>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</si>
  <si>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</si>
  <si>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</si>
  <si>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</si>
  <si>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</si>
  <si>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</si>
  <si>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</si>
  <si>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</si>
  <si>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</si>
  <si>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</si>
  <si>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</si>
  <si>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</si>
  <si>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</si>
  <si>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</si>
  <si>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</si>
  <si>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</si>
  <si>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</si>
  <si>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</si>
  <si>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</si>
  <si>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</si>
  <si>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</si>
  <si>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</si>
  <si>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</si>
  <si>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</si>
  <si>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</si>
  <si>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</si>
  <si>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</si>
  <si>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</si>
  <si>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</si>
  <si>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</si>
  <si>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</si>
  <si>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</si>
  <si>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</si>
  <si>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</si>
  <si>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</si>
  <si>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</si>
  <si>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</si>
  <si>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</si>
  <si>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</si>
  <si>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</si>
  <si>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</si>
  <si>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</si>
  <si>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</si>
  <si>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</si>
  <si>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</si>
  <si>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</si>
  <si>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</si>
  <si>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</si>
  <si>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</si>
  <si>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</si>
  <si>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</si>
  <si>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</si>
  <si>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</si>
  <si>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</si>
  <si>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</si>
  <si>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</si>
  <si>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</si>
  <si>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</si>
  <si>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</si>
  <si>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</si>
  <si>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</si>
  <si>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</si>
  <si>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</si>
  <si>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</si>
  <si>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</si>
  <si>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</si>
  <si>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</si>
  <si>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</si>
  <si>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</si>
  <si>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</si>
  <si>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</si>
  <si>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</si>
  <si>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</si>
  <si>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</si>
  <si>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</si>
  <si>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</si>
  <si>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</si>
  <si>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</si>
  <si>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</si>
  <si>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</si>
  <si>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</si>
  <si>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</si>
  <si>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</si>
  <si>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</si>
  <si>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</si>
  <si>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</si>
  <si>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</si>
  <si>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</si>
  <si>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</si>
  <si>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</si>
  <si>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</si>
  <si>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</si>
  <si>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</si>
  <si>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</si>
  <si>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</si>
  <si>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</si>
  <si>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</si>
  <si>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</si>
  <si>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</si>
  <si>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</si>
  <si>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</si>
  <si>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</si>
  <si>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</si>
  <si>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</si>
  <si>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</si>
  <si>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</si>
  <si>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</si>
  <si>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</si>
  <si>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</si>
  <si>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</si>
  <si>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</si>
  <si>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</si>
  <si>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</si>
  <si>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</si>
  <si>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</si>
  <si>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</si>
  <si>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</si>
  <si>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</si>
  <si>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</si>
  <si>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</si>
  <si>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</si>
  <si>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</si>
  <si>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</si>
  <si>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</si>
  <si>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</si>
  <si>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</si>
  <si>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</si>
  <si>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</si>
  <si>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</si>
  <si>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</si>
  <si>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</si>
  <si>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</si>
  <si>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</si>
  <si>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</si>
  <si>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</si>
  <si>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</si>
  <si>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</si>
  <si>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</si>
  <si>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</si>
  <si>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</si>
  <si>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</si>
  <si>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</si>
  <si>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</si>
  <si>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</si>
  <si>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</si>
  <si>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</si>
  <si>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</si>
  <si>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</si>
  <si>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</si>
  <si>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</si>
  <si>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</si>
  <si>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</si>
  <si>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</si>
  <si>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</si>
  <si>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</si>
  <si>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</si>
  <si>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</si>
  <si>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</si>
  <si>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</si>
  <si>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</si>
  <si>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</si>
  <si>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</si>
  <si>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</si>
  <si>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</si>
  <si>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</si>
  <si>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</si>
  <si>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</si>
  <si>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</si>
  <si>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</si>
  <si>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</si>
  <si>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</si>
  <si>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</si>
  <si>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</si>
  <si>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</si>
  <si>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</si>
  <si>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</si>
  <si>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</si>
  <si>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</si>
  <si>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</si>
  <si>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</si>
  <si>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</si>
  <si>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</si>
  <si>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</si>
  <si>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</si>
  <si>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</si>
  <si>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</si>
  <si>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</si>
  <si>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</si>
  <si>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</si>
  <si>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</si>
  <si>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</si>
  <si>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</si>
  <si>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</si>
  <si>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</si>
  <si>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</si>
  <si>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</si>
  <si>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</si>
  <si>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</si>
  <si>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</si>
  <si>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</si>
  <si>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</si>
  <si>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</si>
  <si>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</si>
  <si>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</si>
  <si>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</si>
  <si>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</si>
  <si>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</si>
  <si>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</si>
  <si>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</si>
  <si>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</si>
  <si>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</si>
  <si>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</si>
  <si>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</si>
  <si>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</si>
  <si>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</si>
  <si>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</si>
  <si>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</si>
  <si>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</si>
  <si>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</si>
  <si>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</si>
  <si>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</si>
  <si>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</si>
  <si>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</si>
  <si>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</si>
  <si>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</si>
  <si>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</si>
  <si>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</si>
  <si>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</si>
  <si>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</si>
  <si>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</si>
  <si>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</si>
  <si>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</si>
  <si>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</si>
  <si>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</si>
  <si>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</si>
  <si>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</si>
  <si>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</si>
  <si>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</si>
  <si>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</si>
  <si>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</si>
  <si>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</si>
  <si>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</si>
  <si>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</si>
  <si>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</si>
  <si>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</si>
  <si>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</si>
  <si>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</si>
  <si>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</si>
  <si>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</si>
  <si>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</si>
  <si>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</si>
  <si>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</si>
  <si>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</si>
  <si>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</si>
  <si>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</si>
  <si>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</si>
  <si>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</si>
  <si>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</si>
  <si>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</si>
  <si>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</si>
  <si>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</si>
  <si>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</si>
  <si>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</si>
  <si>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</si>
  <si>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</si>
  <si>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</si>
  <si>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</si>
  <si>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</si>
  <si>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</si>
  <si>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</si>
  <si>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</si>
  <si>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</si>
  <si>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</si>
  <si>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</si>
  <si>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</si>
  <si>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</si>
  <si>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</si>
  <si>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</si>
  <si>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</si>
  <si>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</si>
  <si>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</si>
  <si>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</si>
  <si>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</si>
  <si>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</si>
  <si>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</si>
  <si>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</si>
  <si>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</si>
  <si>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</si>
  <si>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</si>
  <si>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</si>
  <si>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</si>
  <si>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</si>
  <si>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</si>
  <si>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</si>
  <si>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</si>
  <si>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</si>
  <si>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</si>
  <si>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</si>
  <si>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</si>
  <si>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</si>
  <si>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</si>
  <si>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</si>
  <si>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</si>
  <si>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N/A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</si>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</sst>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870C-0FE0-4423-8971-630AAFD3A994}">
  <dimension ref="A1:J468"/>
  <sheetViews>
    <sheetView tabSelected="1" workbookViewId="0">
      <selection activeCell="S7" sqref="R7:S8"/>
    </sheetView>
  </sheetViews>
  <sheetFormatPr defaultRowHeight="15" x14ac:dyDescent="0.25"/>
  <cols>
    <col min="1" max="1" width="26.42578125" bestFit="1" customWidth="1"/>
    <col min="2" max="2" width="28.28515625" bestFit="1" customWidth="1"/>
    <col min="5" max="5" width="16.85546875" bestFit="1" customWidth="1"/>
    <col min="6" max="6" width="10.71093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400730</v>
      </c>
      <c r="E2" t="str">
        <f>"0400730"</f>
        <v>0400730</v>
      </c>
      <c r="F2">
        <v>208</v>
      </c>
      <c r="G2" t="s">
        <v>13</v>
      </c>
      <c r="H2">
        <v>2020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C3" t="s">
        <v>12</v>
      </c>
      <c r="D3">
        <v>400870</v>
      </c>
      <c r="E3" t="str">
        <f>"0400870"</f>
        <v>0400870</v>
      </c>
      <c r="F3">
        <v>3783</v>
      </c>
      <c r="G3" t="s">
        <v>13</v>
      </c>
      <c r="H3">
        <v>2020</v>
      </c>
      <c r="I3" t="s">
        <v>14</v>
      </c>
      <c r="J3" t="s">
        <v>15</v>
      </c>
    </row>
    <row r="4" spans="1:10" x14ac:dyDescent="0.25">
      <c r="A4" t="s">
        <v>10</v>
      </c>
      <c r="B4" t="s">
        <v>17</v>
      </c>
      <c r="C4" t="s">
        <v>12</v>
      </c>
      <c r="D4">
        <v>400940</v>
      </c>
      <c r="E4" t="str">
        <f>"0400940"</f>
        <v>0400940</v>
      </c>
      <c r="F4">
        <v>33</v>
      </c>
      <c r="G4" t="s">
        <v>13</v>
      </c>
      <c r="H4">
        <v>2020</v>
      </c>
      <c r="I4" t="s">
        <v>14</v>
      </c>
      <c r="J4" t="s">
        <v>15</v>
      </c>
    </row>
    <row r="5" spans="1:10" x14ac:dyDescent="0.25">
      <c r="A5" t="s">
        <v>10</v>
      </c>
      <c r="B5" t="s">
        <v>18</v>
      </c>
      <c r="C5" t="s">
        <v>12</v>
      </c>
      <c r="D5">
        <v>401090</v>
      </c>
      <c r="E5" t="str">
        <f>"0401090"</f>
        <v>0401090</v>
      </c>
      <c r="F5">
        <v>1133</v>
      </c>
      <c r="G5" t="s">
        <v>13</v>
      </c>
      <c r="H5">
        <v>2020</v>
      </c>
      <c r="I5" t="s">
        <v>14</v>
      </c>
      <c r="J5" t="s">
        <v>15</v>
      </c>
    </row>
    <row r="6" spans="1:10" x14ac:dyDescent="0.25">
      <c r="A6" t="s">
        <v>10</v>
      </c>
      <c r="B6" t="s">
        <v>19</v>
      </c>
      <c r="C6" t="s">
        <v>12</v>
      </c>
      <c r="D6">
        <v>401170</v>
      </c>
      <c r="E6" t="str">
        <f>"0401170"</f>
        <v>0401170</v>
      </c>
      <c r="F6">
        <v>3</v>
      </c>
      <c r="G6" t="s">
        <v>13</v>
      </c>
      <c r="H6">
        <v>2020</v>
      </c>
      <c r="I6" t="s">
        <v>14</v>
      </c>
      <c r="J6" t="s">
        <v>15</v>
      </c>
    </row>
    <row r="7" spans="1:10" x14ac:dyDescent="0.25">
      <c r="A7" t="s">
        <v>10</v>
      </c>
      <c r="B7" t="s">
        <v>20</v>
      </c>
      <c r="C7" t="s">
        <v>12</v>
      </c>
      <c r="D7">
        <v>401560</v>
      </c>
      <c r="E7" t="str">
        <f>"0401560"</f>
        <v>0401560</v>
      </c>
      <c r="F7">
        <v>123</v>
      </c>
      <c r="G7" t="s">
        <v>13</v>
      </c>
      <c r="H7">
        <v>2020</v>
      </c>
      <c r="I7" t="s">
        <v>14</v>
      </c>
      <c r="J7" t="s">
        <v>15</v>
      </c>
    </row>
    <row r="8" spans="1:10" x14ac:dyDescent="0.25">
      <c r="A8" t="s">
        <v>10</v>
      </c>
      <c r="B8" t="s">
        <v>21</v>
      </c>
      <c r="C8" t="s">
        <v>12</v>
      </c>
      <c r="D8">
        <v>401570</v>
      </c>
      <c r="E8" t="str">
        <f>"0401570"</f>
        <v>0401570</v>
      </c>
      <c r="F8">
        <v>67</v>
      </c>
      <c r="G8" t="s">
        <v>13</v>
      </c>
      <c r="H8">
        <v>2020</v>
      </c>
      <c r="I8" t="s">
        <v>14</v>
      </c>
      <c r="J8" t="s">
        <v>15</v>
      </c>
    </row>
    <row r="9" spans="1:10" x14ac:dyDescent="0.25">
      <c r="A9" t="s">
        <v>10</v>
      </c>
      <c r="B9" t="s">
        <v>22</v>
      </c>
      <c r="C9" t="s">
        <v>12</v>
      </c>
      <c r="D9">
        <v>401620</v>
      </c>
      <c r="E9" t="str">
        <f>"0401620"</f>
        <v>0401620</v>
      </c>
      <c r="F9">
        <v>148</v>
      </c>
      <c r="G9" t="s">
        <v>13</v>
      </c>
      <c r="H9">
        <v>2020</v>
      </c>
      <c r="I9" t="s">
        <v>14</v>
      </c>
      <c r="J9" t="s">
        <v>15</v>
      </c>
    </row>
    <row r="10" spans="1:10" x14ac:dyDescent="0.25">
      <c r="A10" t="s">
        <v>10</v>
      </c>
      <c r="B10" t="s">
        <v>23</v>
      </c>
      <c r="C10" t="s">
        <v>12</v>
      </c>
      <c r="D10">
        <v>401920</v>
      </c>
      <c r="E10" t="str">
        <f>"0401920"</f>
        <v>0401920</v>
      </c>
      <c r="F10">
        <v>103</v>
      </c>
      <c r="G10" t="s">
        <v>13</v>
      </c>
      <c r="H10">
        <v>2020</v>
      </c>
      <c r="I10" t="s">
        <v>14</v>
      </c>
      <c r="J10" t="s">
        <v>15</v>
      </c>
    </row>
    <row r="11" spans="1:10" x14ac:dyDescent="0.25">
      <c r="A11" t="s">
        <v>10</v>
      </c>
      <c r="B11" t="s">
        <v>24</v>
      </c>
      <c r="C11" t="s">
        <v>12</v>
      </c>
      <c r="D11">
        <v>401990</v>
      </c>
      <c r="E11" t="str">
        <f>"0401990"</f>
        <v>0401990</v>
      </c>
      <c r="F11">
        <v>41</v>
      </c>
      <c r="G11" t="s">
        <v>13</v>
      </c>
      <c r="H11">
        <v>2020</v>
      </c>
      <c r="I11" t="s">
        <v>14</v>
      </c>
      <c r="J11" t="s">
        <v>15</v>
      </c>
    </row>
    <row r="12" spans="1:10" x14ac:dyDescent="0.25">
      <c r="A12" t="s">
        <v>10</v>
      </c>
      <c r="B12" t="s">
        <v>25</v>
      </c>
      <c r="C12" t="s">
        <v>12</v>
      </c>
      <c r="D12">
        <v>402270</v>
      </c>
      <c r="E12" t="str">
        <f>"0402270"</f>
        <v>0402270</v>
      </c>
      <c r="F12">
        <v>90</v>
      </c>
      <c r="G12" t="s">
        <v>13</v>
      </c>
      <c r="H12">
        <v>2020</v>
      </c>
      <c r="I12" t="s">
        <v>14</v>
      </c>
      <c r="J12" t="s">
        <v>15</v>
      </c>
    </row>
    <row r="13" spans="1:10" x14ac:dyDescent="0.25">
      <c r="A13" t="s">
        <v>10</v>
      </c>
      <c r="B13" t="s">
        <v>26</v>
      </c>
      <c r="C13" t="s">
        <v>12</v>
      </c>
      <c r="D13">
        <v>402410</v>
      </c>
      <c r="E13" t="str">
        <f>"0402410"</f>
        <v>0402410</v>
      </c>
      <c r="F13">
        <v>140</v>
      </c>
      <c r="G13" t="s">
        <v>13</v>
      </c>
      <c r="H13">
        <v>2020</v>
      </c>
      <c r="I13" t="s">
        <v>14</v>
      </c>
      <c r="J13" t="s">
        <v>15</v>
      </c>
    </row>
    <row r="14" spans="1:10" x14ac:dyDescent="0.25">
      <c r="A14" t="s">
        <v>10</v>
      </c>
      <c r="B14" t="s">
        <v>27</v>
      </c>
      <c r="C14" t="s">
        <v>12</v>
      </c>
      <c r="D14">
        <v>402430</v>
      </c>
      <c r="E14" t="str">
        <f>"0402430"</f>
        <v>0402430</v>
      </c>
      <c r="F14">
        <v>22622</v>
      </c>
      <c r="G14" t="s">
        <v>13</v>
      </c>
      <c r="H14">
        <v>2020</v>
      </c>
      <c r="I14" t="s">
        <v>14</v>
      </c>
      <c r="J14" t="s">
        <v>15</v>
      </c>
    </row>
    <row r="15" spans="1:10" x14ac:dyDescent="0.25">
      <c r="A15" t="s">
        <v>10</v>
      </c>
      <c r="B15" t="s">
        <v>28</v>
      </c>
      <c r="C15" t="s">
        <v>12</v>
      </c>
      <c r="D15">
        <v>402830</v>
      </c>
      <c r="E15" t="str">
        <f>"0402830"</f>
        <v>0402830</v>
      </c>
      <c r="F15">
        <v>39746</v>
      </c>
      <c r="G15" t="s">
        <v>13</v>
      </c>
      <c r="H15">
        <v>2020</v>
      </c>
      <c r="I15" t="s">
        <v>14</v>
      </c>
      <c r="J15" t="s">
        <v>15</v>
      </c>
    </row>
    <row r="16" spans="1:10" x14ac:dyDescent="0.25">
      <c r="A16" t="s">
        <v>10</v>
      </c>
      <c r="B16" t="s">
        <v>29</v>
      </c>
      <c r="C16" t="s">
        <v>12</v>
      </c>
      <c r="D16">
        <v>403320</v>
      </c>
      <c r="E16" t="str">
        <f>"0403320"</f>
        <v>0403320</v>
      </c>
      <c r="F16">
        <v>494</v>
      </c>
      <c r="G16" t="s">
        <v>13</v>
      </c>
      <c r="H16">
        <v>2020</v>
      </c>
      <c r="I16" t="s">
        <v>14</v>
      </c>
      <c r="J16" t="s">
        <v>15</v>
      </c>
    </row>
    <row r="17" spans="1:10" x14ac:dyDescent="0.25">
      <c r="A17" t="s">
        <v>10</v>
      </c>
      <c r="B17" t="s">
        <v>30</v>
      </c>
      <c r="C17" t="s">
        <v>12</v>
      </c>
      <c r="D17">
        <v>403380</v>
      </c>
      <c r="E17" t="str">
        <f>"0403380"</f>
        <v>0403380</v>
      </c>
      <c r="F17">
        <v>650</v>
      </c>
      <c r="G17" t="s">
        <v>13</v>
      </c>
      <c r="H17">
        <v>2020</v>
      </c>
      <c r="I17" t="s">
        <v>14</v>
      </c>
      <c r="J17" t="s">
        <v>15</v>
      </c>
    </row>
    <row r="18" spans="1:10" x14ac:dyDescent="0.25">
      <c r="A18" t="s">
        <v>10</v>
      </c>
      <c r="B18" t="s">
        <v>31</v>
      </c>
      <c r="C18" t="s">
        <v>12</v>
      </c>
      <c r="D18">
        <v>403530</v>
      </c>
      <c r="E18" t="str">
        <f>"0403530"</f>
        <v>0403530</v>
      </c>
      <c r="F18">
        <v>8681</v>
      </c>
      <c r="G18" t="s">
        <v>13</v>
      </c>
      <c r="H18">
        <v>2020</v>
      </c>
      <c r="I18" t="s">
        <v>14</v>
      </c>
      <c r="J18" t="s">
        <v>15</v>
      </c>
    </row>
    <row r="19" spans="1:10" x14ac:dyDescent="0.25">
      <c r="A19" t="s">
        <v>10</v>
      </c>
      <c r="B19" t="s">
        <v>32</v>
      </c>
      <c r="C19" t="s">
        <v>12</v>
      </c>
      <c r="D19">
        <v>403915</v>
      </c>
      <c r="E19" t="str">
        <f>"0403915"</f>
        <v>0403915</v>
      </c>
      <c r="F19">
        <v>675</v>
      </c>
      <c r="G19" t="s">
        <v>13</v>
      </c>
      <c r="H19">
        <v>2020</v>
      </c>
      <c r="I19" t="s">
        <v>14</v>
      </c>
      <c r="J19" t="s">
        <v>15</v>
      </c>
    </row>
    <row r="20" spans="1:10" x14ac:dyDescent="0.25">
      <c r="A20" t="s">
        <v>10</v>
      </c>
      <c r="B20" t="s">
        <v>33</v>
      </c>
      <c r="C20" t="s">
        <v>12</v>
      </c>
      <c r="D20">
        <v>404020</v>
      </c>
      <c r="E20" t="str">
        <f>"0404020"</f>
        <v>0404020</v>
      </c>
      <c r="F20">
        <v>60</v>
      </c>
      <c r="G20" t="s">
        <v>13</v>
      </c>
      <c r="H20">
        <v>2020</v>
      </c>
      <c r="I20" t="s">
        <v>14</v>
      </c>
      <c r="J20" t="s">
        <v>15</v>
      </c>
    </row>
    <row r="21" spans="1:10" x14ac:dyDescent="0.25">
      <c r="A21" t="s">
        <v>10</v>
      </c>
      <c r="B21" t="s">
        <v>34</v>
      </c>
      <c r="C21" t="s">
        <v>12</v>
      </c>
      <c r="D21">
        <v>404440</v>
      </c>
      <c r="E21" t="str">
        <f>"0404440"</f>
        <v>0404440</v>
      </c>
      <c r="F21">
        <v>578</v>
      </c>
      <c r="G21" t="s">
        <v>13</v>
      </c>
      <c r="H21">
        <v>2020</v>
      </c>
      <c r="I21" t="s">
        <v>14</v>
      </c>
      <c r="J21" t="s">
        <v>15</v>
      </c>
    </row>
    <row r="22" spans="1:10" x14ac:dyDescent="0.25">
      <c r="A22" t="s">
        <v>10</v>
      </c>
      <c r="B22" t="s">
        <v>35</v>
      </c>
      <c r="C22" t="s">
        <v>12</v>
      </c>
      <c r="D22">
        <v>404710</v>
      </c>
      <c r="E22" t="str">
        <f>"0404710"</f>
        <v>0404710</v>
      </c>
      <c r="F22">
        <v>3831</v>
      </c>
      <c r="G22" t="s">
        <v>13</v>
      </c>
      <c r="H22">
        <v>2020</v>
      </c>
      <c r="I22" t="s">
        <v>14</v>
      </c>
      <c r="J22" t="s">
        <v>15</v>
      </c>
    </row>
    <row r="23" spans="1:10" x14ac:dyDescent="0.25">
      <c r="A23" t="s">
        <v>10</v>
      </c>
      <c r="B23" t="s">
        <v>36</v>
      </c>
      <c r="C23" t="s">
        <v>12</v>
      </c>
      <c r="D23">
        <v>404720</v>
      </c>
      <c r="E23" t="str">
        <f>"0404720"</f>
        <v>0404720</v>
      </c>
      <c r="F23">
        <v>90644</v>
      </c>
      <c r="G23" t="s">
        <v>13</v>
      </c>
      <c r="H23">
        <v>2020</v>
      </c>
      <c r="I23" t="s">
        <v>14</v>
      </c>
      <c r="J23" t="s">
        <v>15</v>
      </c>
    </row>
    <row r="24" spans="1:10" x14ac:dyDescent="0.25">
      <c r="A24" t="s">
        <v>10</v>
      </c>
      <c r="B24" t="s">
        <v>37</v>
      </c>
      <c r="C24" t="s">
        <v>12</v>
      </c>
      <c r="D24">
        <v>404880</v>
      </c>
      <c r="E24" t="str">
        <f>"0404880"</f>
        <v>0404880</v>
      </c>
      <c r="F24">
        <v>6364</v>
      </c>
      <c r="G24" t="s">
        <v>13</v>
      </c>
      <c r="H24">
        <v>2020</v>
      </c>
      <c r="I24" t="s">
        <v>14</v>
      </c>
      <c r="J24" t="s">
        <v>15</v>
      </c>
    </row>
    <row r="25" spans="1:10" x14ac:dyDescent="0.25">
      <c r="A25" t="s">
        <v>10</v>
      </c>
      <c r="B25" t="s">
        <v>38</v>
      </c>
      <c r="C25" t="s">
        <v>12</v>
      </c>
      <c r="D25">
        <v>404930</v>
      </c>
      <c r="E25" t="str">
        <f>"0404930"</f>
        <v>0404930</v>
      </c>
      <c r="F25">
        <v>0</v>
      </c>
      <c r="G25" t="s">
        <v>13</v>
      </c>
      <c r="H25">
        <v>2020</v>
      </c>
      <c r="I25" t="s">
        <v>14</v>
      </c>
      <c r="J25" t="s">
        <v>15</v>
      </c>
    </row>
    <row r="26" spans="1:10" x14ac:dyDescent="0.25">
      <c r="A26" t="s">
        <v>10</v>
      </c>
      <c r="B26" t="s">
        <v>39</v>
      </c>
      <c r="C26" t="s">
        <v>12</v>
      </c>
      <c r="D26">
        <v>405140</v>
      </c>
      <c r="E26" t="str">
        <f>"0405140"</f>
        <v>0405140</v>
      </c>
      <c r="F26">
        <v>2757</v>
      </c>
      <c r="G26" t="s">
        <v>13</v>
      </c>
      <c r="H26">
        <v>2020</v>
      </c>
      <c r="I26" t="s">
        <v>14</v>
      </c>
      <c r="J26" t="s">
        <v>15</v>
      </c>
    </row>
    <row r="27" spans="1:10" x14ac:dyDescent="0.25">
      <c r="A27" t="s">
        <v>10</v>
      </c>
      <c r="B27" t="s">
        <v>40</v>
      </c>
      <c r="C27" t="s">
        <v>12</v>
      </c>
      <c r="D27">
        <v>405450</v>
      </c>
      <c r="E27" t="str">
        <f>"0405450"</f>
        <v>0405450</v>
      </c>
      <c r="F27">
        <v>0</v>
      </c>
      <c r="G27" t="s">
        <v>13</v>
      </c>
      <c r="H27">
        <v>2020</v>
      </c>
      <c r="I27" t="s">
        <v>14</v>
      </c>
      <c r="J27" t="s">
        <v>15</v>
      </c>
    </row>
    <row r="28" spans="1:10" x14ac:dyDescent="0.25">
      <c r="A28" t="s">
        <v>10</v>
      </c>
      <c r="B28" t="s">
        <v>41</v>
      </c>
      <c r="C28" t="s">
        <v>12</v>
      </c>
      <c r="D28">
        <v>405490</v>
      </c>
      <c r="E28" t="str">
        <f>"0405490"</f>
        <v>0405490</v>
      </c>
      <c r="F28">
        <v>1590</v>
      </c>
      <c r="G28" t="s">
        <v>13</v>
      </c>
      <c r="H28">
        <v>2020</v>
      </c>
      <c r="I28" t="s">
        <v>14</v>
      </c>
      <c r="J28" t="s">
        <v>15</v>
      </c>
    </row>
    <row r="29" spans="1:10" x14ac:dyDescent="0.25">
      <c r="A29" t="s">
        <v>10</v>
      </c>
      <c r="B29" t="s">
        <v>42</v>
      </c>
      <c r="C29" t="s">
        <v>12</v>
      </c>
      <c r="D29">
        <v>405495</v>
      </c>
      <c r="E29" t="str">
        <f>"0405495"</f>
        <v>0405495</v>
      </c>
      <c r="F29">
        <v>105</v>
      </c>
      <c r="G29" t="s">
        <v>13</v>
      </c>
      <c r="H29">
        <v>2020</v>
      </c>
      <c r="I29" t="s">
        <v>14</v>
      </c>
      <c r="J29" t="s">
        <v>15</v>
      </c>
    </row>
    <row r="30" spans="1:10" x14ac:dyDescent="0.25">
      <c r="A30" t="s">
        <v>10</v>
      </c>
      <c r="B30" t="s">
        <v>43</v>
      </c>
      <c r="C30" t="s">
        <v>12</v>
      </c>
      <c r="D30">
        <v>405700</v>
      </c>
      <c r="E30" t="str">
        <f>"0405700"</f>
        <v>0405700</v>
      </c>
      <c r="F30">
        <v>1447</v>
      </c>
      <c r="G30" t="s">
        <v>13</v>
      </c>
      <c r="H30">
        <v>2020</v>
      </c>
      <c r="I30" t="s">
        <v>14</v>
      </c>
      <c r="J30" t="s">
        <v>15</v>
      </c>
    </row>
    <row r="31" spans="1:10" x14ac:dyDescent="0.25">
      <c r="A31" t="s">
        <v>10</v>
      </c>
      <c r="B31" t="s">
        <v>44</v>
      </c>
      <c r="C31" t="s">
        <v>12</v>
      </c>
      <c r="D31">
        <v>405770</v>
      </c>
      <c r="E31" t="str">
        <f>"0405770"</f>
        <v>0405770</v>
      </c>
      <c r="F31">
        <v>5331</v>
      </c>
      <c r="G31" t="s">
        <v>13</v>
      </c>
      <c r="H31">
        <v>2020</v>
      </c>
      <c r="I31" t="s">
        <v>14</v>
      </c>
      <c r="J31" t="s">
        <v>15</v>
      </c>
    </row>
    <row r="32" spans="1:10" x14ac:dyDescent="0.25">
      <c r="A32" t="s">
        <v>10</v>
      </c>
      <c r="B32" t="s">
        <v>45</v>
      </c>
      <c r="C32" t="s">
        <v>12</v>
      </c>
      <c r="D32">
        <v>405970</v>
      </c>
      <c r="E32" t="str">
        <f>"0405970"</f>
        <v>0405970</v>
      </c>
      <c r="F32">
        <v>61</v>
      </c>
      <c r="G32" t="s">
        <v>13</v>
      </c>
      <c r="H32">
        <v>2020</v>
      </c>
      <c r="I32" t="s">
        <v>14</v>
      </c>
      <c r="J32" t="s">
        <v>15</v>
      </c>
    </row>
    <row r="33" spans="1:10" x14ac:dyDescent="0.25">
      <c r="A33" t="s">
        <v>10</v>
      </c>
      <c r="B33" t="s">
        <v>46</v>
      </c>
      <c r="C33" t="s">
        <v>12</v>
      </c>
      <c r="D33">
        <v>406260</v>
      </c>
      <c r="E33" t="str">
        <f>"0406260"</f>
        <v>0406260</v>
      </c>
      <c r="F33">
        <v>4963</v>
      </c>
      <c r="G33" t="s">
        <v>13</v>
      </c>
      <c r="H33">
        <v>2020</v>
      </c>
      <c r="I33" t="s">
        <v>14</v>
      </c>
      <c r="J33" t="s">
        <v>15</v>
      </c>
    </row>
    <row r="34" spans="1:10" x14ac:dyDescent="0.25">
      <c r="A34" t="s">
        <v>10</v>
      </c>
      <c r="B34" t="s">
        <v>47</v>
      </c>
      <c r="C34" t="s">
        <v>12</v>
      </c>
      <c r="D34">
        <v>406470</v>
      </c>
      <c r="E34" t="str">
        <f>"0406470"</f>
        <v>0406470</v>
      </c>
      <c r="F34">
        <v>435</v>
      </c>
      <c r="G34" t="s">
        <v>13</v>
      </c>
      <c r="H34">
        <v>2020</v>
      </c>
      <c r="I34" t="s">
        <v>14</v>
      </c>
      <c r="J34" t="s">
        <v>15</v>
      </c>
    </row>
    <row r="35" spans="1:10" x14ac:dyDescent="0.25">
      <c r="A35" t="s">
        <v>10</v>
      </c>
      <c r="B35" t="s">
        <v>48</v>
      </c>
      <c r="C35" t="s">
        <v>12</v>
      </c>
      <c r="D35">
        <v>406610</v>
      </c>
      <c r="E35" t="str">
        <f>"0406610"</f>
        <v>0406610</v>
      </c>
      <c r="F35">
        <v>2297</v>
      </c>
      <c r="G35" t="s">
        <v>13</v>
      </c>
      <c r="H35">
        <v>2020</v>
      </c>
      <c r="I35" t="s">
        <v>14</v>
      </c>
      <c r="J35" t="s">
        <v>15</v>
      </c>
    </row>
    <row r="36" spans="1:10" x14ac:dyDescent="0.25">
      <c r="A36" t="s">
        <v>10</v>
      </c>
      <c r="B36" t="s">
        <v>49</v>
      </c>
      <c r="C36" t="s">
        <v>12</v>
      </c>
      <c r="D36">
        <v>406820</v>
      </c>
      <c r="E36" t="str">
        <f>"0406820"</f>
        <v>0406820</v>
      </c>
      <c r="F36">
        <v>2245</v>
      </c>
      <c r="G36" t="s">
        <v>13</v>
      </c>
      <c r="H36">
        <v>2020</v>
      </c>
      <c r="I36" t="s">
        <v>14</v>
      </c>
      <c r="J36" t="s">
        <v>15</v>
      </c>
    </row>
    <row r="37" spans="1:10" x14ac:dyDescent="0.25">
      <c r="A37" t="s">
        <v>10</v>
      </c>
      <c r="B37" t="s">
        <v>50</v>
      </c>
      <c r="C37" t="s">
        <v>12</v>
      </c>
      <c r="D37">
        <v>406997</v>
      </c>
      <c r="E37" t="str">
        <f>"0406997"</f>
        <v>0406997</v>
      </c>
      <c r="F37">
        <v>1037</v>
      </c>
      <c r="G37" t="s">
        <v>13</v>
      </c>
      <c r="H37">
        <v>2020</v>
      </c>
      <c r="I37" t="s">
        <v>14</v>
      </c>
      <c r="J37" t="s">
        <v>15</v>
      </c>
    </row>
    <row r="38" spans="1:10" x14ac:dyDescent="0.25">
      <c r="A38" t="s">
        <v>10</v>
      </c>
      <c r="B38" t="s">
        <v>51</v>
      </c>
      <c r="C38" t="s">
        <v>12</v>
      </c>
      <c r="D38">
        <v>407025</v>
      </c>
      <c r="E38" t="str">
        <f>"0407025"</f>
        <v>0407025</v>
      </c>
      <c r="F38">
        <v>804</v>
      </c>
      <c r="G38" t="s">
        <v>13</v>
      </c>
      <c r="H38">
        <v>2020</v>
      </c>
      <c r="I38" t="s">
        <v>14</v>
      </c>
      <c r="J38" t="s">
        <v>15</v>
      </c>
    </row>
    <row r="39" spans="1:10" x14ac:dyDescent="0.25">
      <c r="A39" t="s">
        <v>10</v>
      </c>
      <c r="B39" t="s">
        <v>52</v>
      </c>
      <c r="C39" t="s">
        <v>12</v>
      </c>
      <c r="D39">
        <v>407310</v>
      </c>
      <c r="E39" t="str">
        <f>"0407310"</f>
        <v>0407310</v>
      </c>
      <c r="F39">
        <v>1119</v>
      </c>
      <c r="G39" t="s">
        <v>13</v>
      </c>
      <c r="H39">
        <v>2020</v>
      </c>
      <c r="I39" t="s">
        <v>14</v>
      </c>
      <c r="J39" t="s">
        <v>15</v>
      </c>
    </row>
    <row r="40" spans="1:10" x14ac:dyDescent="0.25">
      <c r="A40" t="s">
        <v>10</v>
      </c>
      <c r="B40" t="s">
        <v>53</v>
      </c>
      <c r="C40" t="s">
        <v>12</v>
      </c>
      <c r="D40">
        <v>407380</v>
      </c>
      <c r="E40" t="str">
        <f>"0407380"</f>
        <v>0407380</v>
      </c>
      <c r="F40">
        <v>399</v>
      </c>
      <c r="G40" t="s">
        <v>13</v>
      </c>
      <c r="H40">
        <v>2020</v>
      </c>
      <c r="I40" t="s">
        <v>14</v>
      </c>
      <c r="J40" t="s">
        <v>15</v>
      </c>
    </row>
    <row r="41" spans="1:10" x14ac:dyDescent="0.25">
      <c r="A41" t="s">
        <v>10</v>
      </c>
      <c r="B41" t="s">
        <v>54</v>
      </c>
      <c r="C41" t="s">
        <v>12</v>
      </c>
      <c r="D41">
        <v>407590</v>
      </c>
      <c r="E41" t="str">
        <f>"0407590"</f>
        <v>0407590</v>
      </c>
      <c r="F41">
        <v>798</v>
      </c>
      <c r="G41" t="s">
        <v>13</v>
      </c>
      <c r="H41">
        <v>2020</v>
      </c>
      <c r="I41" t="s">
        <v>14</v>
      </c>
      <c r="J41" t="s">
        <v>15</v>
      </c>
    </row>
    <row r="42" spans="1:10" x14ac:dyDescent="0.25">
      <c r="A42" t="s">
        <v>10</v>
      </c>
      <c r="B42" t="s">
        <v>55</v>
      </c>
      <c r="C42" t="s">
        <v>12</v>
      </c>
      <c r="D42">
        <v>407915</v>
      </c>
      <c r="E42" t="str">
        <f>"0407915"</f>
        <v>0407915</v>
      </c>
      <c r="F42">
        <v>432</v>
      </c>
      <c r="G42" t="s">
        <v>13</v>
      </c>
      <c r="H42">
        <v>2020</v>
      </c>
      <c r="I42" t="s">
        <v>14</v>
      </c>
      <c r="J42" t="s">
        <v>15</v>
      </c>
    </row>
    <row r="43" spans="1:10" x14ac:dyDescent="0.25">
      <c r="A43" t="s">
        <v>10</v>
      </c>
      <c r="B43" t="s">
        <v>56</v>
      </c>
      <c r="C43" t="s">
        <v>12</v>
      </c>
      <c r="D43">
        <v>407940</v>
      </c>
      <c r="E43" t="str">
        <f>"0407940"</f>
        <v>0407940</v>
      </c>
      <c r="F43">
        <v>99844</v>
      </c>
      <c r="G43" t="s">
        <v>13</v>
      </c>
      <c r="H43">
        <v>2020</v>
      </c>
      <c r="I43" t="s">
        <v>14</v>
      </c>
      <c r="J43" t="s">
        <v>15</v>
      </c>
    </row>
    <row r="44" spans="1:10" x14ac:dyDescent="0.25">
      <c r="A44" t="s">
        <v>10</v>
      </c>
      <c r="B44" t="s">
        <v>57</v>
      </c>
      <c r="C44" t="s">
        <v>12</v>
      </c>
      <c r="D44">
        <v>408020</v>
      </c>
      <c r="E44" t="str">
        <f>"0408020"</f>
        <v>0408020</v>
      </c>
      <c r="F44">
        <v>12</v>
      </c>
      <c r="G44" t="s">
        <v>13</v>
      </c>
      <c r="H44">
        <v>2020</v>
      </c>
      <c r="I44" t="s">
        <v>14</v>
      </c>
      <c r="J44" t="s">
        <v>15</v>
      </c>
    </row>
    <row r="45" spans="1:10" x14ac:dyDescent="0.25">
      <c r="A45" t="s">
        <v>10</v>
      </c>
      <c r="B45" t="s">
        <v>58</v>
      </c>
      <c r="C45" t="s">
        <v>12</v>
      </c>
      <c r="D45">
        <v>408220</v>
      </c>
      <c r="E45" t="str">
        <f>"0408220"</f>
        <v>0408220</v>
      </c>
      <c r="F45">
        <v>42193</v>
      </c>
      <c r="G45" t="s">
        <v>13</v>
      </c>
      <c r="H45">
        <v>2020</v>
      </c>
      <c r="I45" t="s">
        <v>14</v>
      </c>
      <c r="J45" t="s">
        <v>15</v>
      </c>
    </row>
    <row r="46" spans="1:10" x14ac:dyDescent="0.25">
      <c r="A46" t="s">
        <v>10</v>
      </c>
      <c r="B46" t="s">
        <v>59</v>
      </c>
      <c r="C46" t="s">
        <v>12</v>
      </c>
      <c r="D46">
        <v>408535</v>
      </c>
      <c r="E46" t="str">
        <f>"0408535"</f>
        <v>0408535</v>
      </c>
      <c r="F46">
        <v>445</v>
      </c>
      <c r="G46" t="s">
        <v>13</v>
      </c>
      <c r="H46">
        <v>2020</v>
      </c>
      <c r="I46" t="s">
        <v>14</v>
      </c>
      <c r="J46" t="s">
        <v>15</v>
      </c>
    </row>
    <row r="47" spans="1:10" x14ac:dyDescent="0.25">
      <c r="A47" t="s">
        <v>10</v>
      </c>
      <c r="B47" t="s">
        <v>60</v>
      </c>
      <c r="C47" t="s">
        <v>12</v>
      </c>
      <c r="D47">
        <v>408710</v>
      </c>
      <c r="E47" t="str">
        <f>"0408710"</f>
        <v>0408710</v>
      </c>
      <c r="F47">
        <v>1750</v>
      </c>
      <c r="G47" t="s">
        <v>13</v>
      </c>
      <c r="H47">
        <v>2020</v>
      </c>
      <c r="I47" t="s">
        <v>14</v>
      </c>
      <c r="J47" t="s">
        <v>15</v>
      </c>
    </row>
    <row r="48" spans="1:10" x14ac:dyDescent="0.25">
      <c r="A48" t="s">
        <v>10</v>
      </c>
      <c r="B48" t="s">
        <v>61</v>
      </c>
      <c r="C48" t="s">
        <v>12</v>
      </c>
      <c r="D48">
        <v>408920</v>
      </c>
      <c r="E48" t="str">
        <f>"0408920"</f>
        <v>0408920</v>
      </c>
      <c r="F48">
        <v>1550</v>
      </c>
      <c r="G48" t="s">
        <v>13</v>
      </c>
      <c r="H48">
        <v>2020</v>
      </c>
      <c r="I48" t="s">
        <v>14</v>
      </c>
      <c r="J48" t="s">
        <v>15</v>
      </c>
    </row>
    <row r="49" spans="1:10" x14ac:dyDescent="0.25">
      <c r="A49" t="s">
        <v>10</v>
      </c>
      <c r="B49" t="s">
        <v>62</v>
      </c>
      <c r="C49" t="s">
        <v>12</v>
      </c>
      <c r="D49">
        <v>408990</v>
      </c>
      <c r="E49" t="str">
        <f>"0408990"</f>
        <v>0408990</v>
      </c>
      <c r="F49">
        <v>509</v>
      </c>
      <c r="G49" t="s">
        <v>13</v>
      </c>
      <c r="H49">
        <v>2020</v>
      </c>
      <c r="I49" t="s">
        <v>14</v>
      </c>
      <c r="J49" t="s">
        <v>15</v>
      </c>
    </row>
    <row r="50" spans="1:10" x14ac:dyDescent="0.25">
      <c r="A50" t="s">
        <v>10</v>
      </c>
      <c r="B50" t="s">
        <v>63</v>
      </c>
      <c r="C50" t="s">
        <v>12</v>
      </c>
      <c r="D50">
        <v>409340</v>
      </c>
      <c r="E50" t="str">
        <f>"0409340"</f>
        <v>0409340</v>
      </c>
      <c r="F50">
        <v>766</v>
      </c>
      <c r="G50" t="s">
        <v>13</v>
      </c>
      <c r="H50">
        <v>2020</v>
      </c>
      <c r="I50" t="s">
        <v>14</v>
      </c>
      <c r="J50" t="s">
        <v>15</v>
      </c>
    </row>
    <row r="51" spans="1:10" x14ac:dyDescent="0.25">
      <c r="A51" t="s">
        <v>10</v>
      </c>
      <c r="B51" t="s">
        <v>64</v>
      </c>
      <c r="C51" t="s">
        <v>12</v>
      </c>
      <c r="D51">
        <v>409580</v>
      </c>
      <c r="E51" t="str">
        <f>"0409580"</f>
        <v>0409580</v>
      </c>
      <c r="F51">
        <v>33</v>
      </c>
      <c r="G51" t="s">
        <v>13</v>
      </c>
      <c r="H51">
        <v>2020</v>
      </c>
      <c r="I51" t="s">
        <v>14</v>
      </c>
      <c r="J51" t="s">
        <v>15</v>
      </c>
    </row>
    <row r="52" spans="1:10" x14ac:dyDescent="0.25">
      <c r="A52" t="s">
        <v>10</v>
      </c>
      <c r="B52" t="s">
        <v>65</v>
      </c>
      <c r="C52" t="s">
        <v>12</v>
      </c>
      <c r="D52">
        <v>409690</v>
      </c>
      <c r="E52" t="str">
        <f>"0409690"</f>
        <v>0409690</v>
      </c>
      <c r="F52">
        <v>12282</v>
      </c>
      <c r="G52" t="s">
        <v>13</v>
      </c>
      <c r="H52">
        <v>2020</v>
      </c>
      <c r="I52" t="s">
        <v>14</v>
      </c>
      <c r="J52" t="s">
        <v>15</v>
      </c>
    </row>
    <row r="53" spans="1:10" x14ac:dyDescent="0.25">
      <c r="A53" t="s">
        <v>10</v>
      </c>
      <c r="B53" t="s">
        <v>66</v>
      </c>
      <c r="C53" t="s">
        <v>12</v>
      </c>
      <c r="D53">
        <v>409900</v>
      </c>
      <c r="E53" t="str">
        <f>"0409900"</f>
        <v>0409900</v>
      </c>
      <c r="F53">
        <v>525</v>
      </c>
      <c r="G53" t="s">
        <v>13</v>
      </c>
      <c r="H53">
        <v>2020</v>
      </c>
      <c r="I53" t="s">
        <v>14</v>
      </c>
      <c r="J53" t="s">
        <v>15</v>
      </c>
    </row>
    <row r="54" spans="1:10" x14ac:dyDescent="0.25">
      <c r="A54" t="s">
        <v>10</v>
      </c>
      <c r="B54" t="s">
        <v>67</v>
      </c>
      <c r="C54" t="s">
        <v>12</v>
      </c>
      <c r="D54">
        <v>410040</v>
      </c>
      <c r="E54" t="str">
        <f>"0410040"</f>
        <v>0410040</v>
      </c>
      <c r="F54">
        <v>1426</v>
      </c>
      <c r="G54" t="s">
        <v>13</v>
      </c>
      <c r="H54">
        <v>2020</v>
      </c>
      <c r="I54" t="s">
        <v>14</v>
      </c>
      <c r="J54" t="s">
        <v>15</v>
      </c>
    </row>
    <row r="55" spans="1:10" x14ac:dyDescent="0.25">
      <c r="A55" t="s">
        <v>10</v>
      </c>
      <c r="B55" t="s">
        <v>68</v>
      </c>
      <c r="C55" t="s">
        <v>12</v>
      </c>
      <c r="D55">
        <v>410180</v>
      </c>
      <c r="E55" t="str">
        <f>"0410180"</f>
        <v>0410180</v>
      </c>
      <c r="F55">
        <v>3672</v>
      </c>
      <c r="G55" t="s">
        <v>13</v>
      </c>
      <c r="H55">
        <v>2020</v>
      </c>
      <c r="I55" t="s">
        <v>14</v>
      </c>
      <c r="J55" t="s">
        <v>15</v>
      </c>
    </row>
    <row r="56" spans="1:10" x14ac:dyDescent="0.25">
      <c r="A56" t="s">
        <v>10</v>
      </c>
      <c r="B56" t="s">
        <v>69</v>
      </c>
      <c r="C56" t="s">
        <v>12</v>
      </c>
      <c r="D56">
        <v>410320</v>
      </c>
      <c r="E56" t="str">
        <f>"0410320"</f>
        <v>0410320</v>
      </c>
      <c r="F56">
        <v>283</v>
      </c>
      <c r="G56" t="s">
        <v>13</v>
      </c>
      <c r="H56">
        <v>2020</v>
      </c>
      <c r="I56" t="s">
        <v>14</v>
      </c>
      <c r="J56" t="s">
        <v>15</v>
      </c>
    </row>
    <row r="57" spans="1:10" x14ac:dyDescent="0.25">
      <c r="A57" t="s">
        <v>10</v>
      </c>
      <c r="B57" t="s">
        <v>70</v>
      </c>
      <c r="C57" t="s">
        <v>12</v>
      </c>
      <c r="D57">
        <v>410460</v>
      </c>
      <c r="E57" t="str">
        <f>"0410460"</f>
        <v>0410460</v>
      </c>
      <c r="F57">
        <v>1382</v>
      </c>
      <c r="G57" t="s">
        <v>13</v>
      </c>
      <c r="H57">
        <v>2020</v>
      </c>
      <c r="I57" t="s">
        <v>14</v>
      </c>
      <c r="J57" t="s">
        <v>15</v>
      </c>
    </row>
    <row r="58" spans="1:10" x14ac:dyDescent="0.25">
      <c r="A58" t="s">
        <v>10</v>
      </c>
      <c r="B58" t="s">
        <v>71</v>
      </c>
      <c r="C58" t="s">
        <v>12</v>
      </c>
      <c r="D58">
        <v>410530</v>
      </c>
      <c r="E58" t="str">
        <f>"0410530"</f>
        <v>0410530</v>
      </c>
      <c r="F58">
        <v>57590</v>
      </c>
      <c r="G58" t="s">
        <v>13</v>
      </c>
      <c r="H58">
        <v>2020</v>
      </c>
      <c r="I58" t="s">
        <v>14</v>
      </c>
      <c r="J58" t="s">
        <v>15</v>
      </c>
    </row>
    <row r="59" spans="1:10" x14ac:dyDescent="0.25">
      <c r="A59" t="s">
        <v>10</v>
      </c>
      <c r="B59" t="s">
        <v>72</v>
      </c>
      <c r="C59" t="s">
        <v>12</v>
      </c>
      <c r="D59">
        <v>410670</v>
      </c>
      <c r="E59" t="str">
        <f>"0410670"</f>
        <v>0410670</v>
      </c>
      <c r="F59">
        <v>70770</v>
      </c>
      <c r="G59" t="s">
        <v>13</v>
      </c>
      <c r="H59">
        <v>2020</v>
      </c>
      <c r="I59" t="s">
        <v>14</v>
      </c>
      <c r="J59" t="s">
        <v>15</v>
      </c>
    </row>
    <row r="60" spans="1:10" x14ac:dyDescent="0.25">
      <c r="A60" t="s">
        <v>10</v>
      </c>
      <c r="B60" t="s">
        <v>73</v>
      </c>
      <c r="C60" t="s">
        <v>12</v>
      </c>
      <c r="D60">
        <v>411160</v>
      </c>
      <c r="E60" t="str">
        <f>"0411160"</f>
        <v>0411160</v>
      </c>
      <c r="F60">
        <v>6908</v>
      </c>
      <c r="G60" t="s">
        <v>13</v>
      </c>
      <c r="H60">
        <v>2020</v>
      </c>
      <c r="I60" t="s">
        <v>14</v>
      </c>
      <c r="J60" t="s">
        <v>15</v>
      </c>
    </row>
    <row r="61" spans="1:10" x14ac:dyDescent="0.25">
      <c r="A61" t="s">
        <v>10</v>
      </c>
      <c r="B61" t="s">
        <v>74</v>
      </c>
      <c r="C61" t="s">
        <v>12</v>
      </c>
      <c r="D61">
        <v>411230</v>
      </c>
      <c r="E61" t="str">
        <f>"0411230"</f>
        <v>0411230</v>
      </c>
      <c r="F61">
        <v>51756</v>
      </c>
      <c r="G61" t="s">
        <v>13</v>
      </c>
      <c r="H61">
        <v>2020</v>
      </c>
      <c r="I61" t="s">
        <v>14</v>
      </c>
      <c r="J61" t="s">
        <v>15</v>
      </c>
    </row>
    <row r="62" spans="1:10" x14ac:dyDescent="0.25">
      <c r="A62" t="s">
        <v>10</v>
      </c>
      <c r="B62" t="s">
        <v>75</v>
      </c>
      <c r="C62" t="s">
        <v>12</v>
      </c>
      <c r="D62">
        <v>411300</v>
      </c>
      <c r="E62" t="str">
        <f>"0411300"</f>
        <v>0411300</v>
      </c>
      <c r="F62">
        <v>5033</v>
      </c>
      <c r="G62" t="s">
        <v>13</v>
      </c>
      <c r="H62">
        <v>2020</v>
      </c>
      <c r="I62" t="s">
        <v>14</v>
      </c>
      <c r="J62" t="s">
        <v>15</v>
      </c>
    </row>
    <row r="63" spans="1:10" x14ac:dyDescent="0.25">
      <c r="A63" t="s">
        <v>10</v>
      </c>
      <c r="B63" t="s">
        <v>76</v>
      </c>
      <c r="C63" t="s">
        <v>12</v>
      </c>
      <c r="D63">
        <v>411370</v>
      </c>
      <c r="E63" t="str">
        <f>"0411370"</f>
        <v>0411370</v>
      </c>
      <c r="F63">
        <v>457</v>
      </c>
      <c r="G63" t="s">
        <v>13</v>
      </c>
      <c r="H63">
        <v>2020</v>
      </c>
      <c r="I63" t="s">
        <v>14</v>
      </c>
      <c r="J63" t="s">
        <v>15</v>
      </c>
    </row>
    <row r="64" spans="1:10" x14ac:dyDescent="0.25">
      <c r="A64" t="s">
        <v>10</v>
      </c>
      <c r="B64" t="s">
        <v>77</v>
      </c>
      <c r="C64" t="s">
        <v>12</v>
      </c>
      <c r="D64">
        <v>411500</v>
      </c>
      <c r="E64" t="str">
        <f>"0411500"</f>
        <v>0411500</v>
      </c>
      <c r="F64">
        <v>1733</v>
      </c>
      <c r="G64" t="s">
        <v>13</v>
      </c>
      <c r="H64">
        <v>2020</v>
      </c>
      <c r="I64" t="s">
        <v>14</v>
      </c>
      <c r="J64" t="s">
        <v>15</v>
      </c>
    </row>
    <row r="65" spans="1:10" x14ac:dyDescent="0.25">
      <c r="A65" t="s">
        <v>10</v>
      </c>
      <c r="B65" t="s">
        <v>78</v>
      </c>
      <c r="C65" t="s">
        <v>12</v>
      </c>
      <c r="D65">
        <v>411580</v>
      </c>
      <c r="E65" t="str">
        <f>"0411580"</f>
        <v>0411580</v>
      </c>
      <c r="F65">
        <v>273</v>
      </c>
      <c r="G65" t="s">
        <v>13</v>
      </c>
      <c r="H65">
        <v>2020</v>
      </c>
      <c r="I65" t="s">
        <v>14</v>
      </c>
      <c r="J65" t="s">
        <v>15</v>
      </c>
    </row>
    <row r="66" spans="1:10" x14ac:dyDescent="0.25">
      <c r="A66" t="s">
        <v>10</v>
      </c>
      <c r="B66" t="s">
        <v>79</v>
      </c>
      <c r="C66" t="s">
        <v>12</v>
      </c>
      <c r="D66">
        <v>411720</v>
      </c>
      <c r="E66" t="str">
        <f>"0411720"</f>
        <v>0411720</v>
      </c>
      <c r="F66">
        <v>2678</v>
      </c>
      <c r="G66" t="s">
        <v>13</v>
      </c>
      <c r="H66">
        <v>2020</v>
      </c>
      <c r="I66" t="s">
        <v>14</v>
      </c>
      <c r="J66" t="s">
        <v>15</v>
      </c>
    </row>
    <row r="67" spans="1:10" x14ac:dyDescent="0.25">
      <c r="A67" t="s">
        <v>10</v>
      </c>
      <c r="B67" t="s">
        <v>80</v>
      </c>
      <c r="C67" t="s">
        <v>12</v>
      </c>
      <c r="D67">
        <v>412000</v>
      </c>
      <c r="E67" t="str">
        <f>"0412000"</f>
        <v>0412000</v>
      </c>
      <c r="F67">
        <v>278123</v>
      </c>
      <c r="G67" t="s">
        <v>13</v>
      </c>
      <c r="H67">
        <v>2020</v>
      </c>
      <c r="I67" t="s">
        <v>14</v>
      </c>
      <c r="J67" t="s">
        <v>15</v>
      </c>
    </row>
    <row r="68" spans="1:10" x14ac:dyDescent="0.25">
      <c r="A68" t="s">
        <v>10</v>
      </c>
      <c r="B68" t="s">
        <v>81</v>
      </c>
      <c r="C68" t="s">
        <v>12</v>
      </c>
      <c r="D68">
        <v>412150</v>
      </c>
      <c r="E68" t="str">
        <f>"0412150"</f>
        <v>0412150</v>
      </c>
      <c r="F68">
        <v>8</v>
      </c>
      <c r="G68" t="s">
        <v>13</v>
      </c>
      <c r="H68">
        <v>2020</v>
      </c>
      <c r="I68" t="s">
        <v>14</v>
      </c>
      <c r="J68" t="s">
        <v>15</v>
      </c>
    </row>
    <row r="69" spans="1:10" x14ac:dyDescent="0.25">
      <c r="A69" t="s">
        <v>10</v>
      </c>
      <c r="B69" t="s">
        <v>82</v>
      </c>
      <c r="C69" t="s">
        <v>12</v>
      </c>
      <c r="D69">
        <v>412560</v>
      </c>
      <c r="E69" t="str">
        <f>"0412560"</f>
        <v>0412560</v>
      </c>
      <c r="F69">
        <v>82</v>
      </c>
      <c r="G69" t="s">
        <v>13</v>
      </c>
      <c r="H69">
        <v>2020</v>
      </c>
      <c r="I69" t="s">
        <v>14</v>
      </c>
      <c r="J69" t="s">
        <v>15</v>
      </c>
    </row>
    <row r="70" spans="1:10" x14ac:dyDescent="0.25">
      <c r="A70" t="s">
        <v>10</v>
      </c>
      <c r="B70" t="s">
        <v>83</v>
      </c>
      <c r="C70" t="s">
        <v>12</v>
      </c>
      <c r="D70">
        <v>412630</v>
      </c>
      <c r="E70" t="str">
        <f>"0412630"</f>
        <v>0412630</v>
      </c>
      <c r="F70">
        <v>881</v>
      </c>
      <c r="G70" t="s">
        <v>13</v>
      </c>
      <c r="H70">
        <v>2020</v>
      </c>
      <c r="I70" t="s">
        <v>14</v>
      </c>
      <c r="J70" t="s">
        <v>15</v>
      </c>
    </row>
    <row r="71" spans="1:10" x14ac:dyDescent="0.25">
      <c r="A71" t="s">
        <v>10</v>
      </c>
      <c r="B71" t="s">
        <v>84</v>
      </c>
      <c r="C71" t="s">
        <v>12</v>
      </c>
      <c r="D71">
        <v>412770</v>
      </c>
      <c r="E71" t="str">
        <f>"0412770"</f>
        <v>0412770</v>
      </c>
      <c r="F71">
        <v>4395</v>
      </c>
      <c r="G71" t="s">
        <v>13</v>
      </c>
      <c r="H71">
        <v>2020</v>
      </c>
      <c r="I71" t="s">
        <v>14</v>
      </c>
      <c r="J71" t="s">
        <v>15</v>
      </c>
    </row>
    <row r="72" spans="1:10" x14ac:dyDescent="0.25">
      <c r="A72" t="s">
        <v>10</v>
      </c>
      <c r="B72" t="s">
        <v>85</v>
      </c>
      <c r="C72" t="s">
        <v>12</v>
      </c>
      <c r="D72">
        <v>412840</v>
      </c>
      <c r="E72" t="str">
        <f>"0412840"</f>
        <v>0412840</v>
      </c>
      <c r="F72">
        <v>13372</v>
      </c>
      <c r="G72" t="s">
        <v>13</v>
      </c>
      <c r="H72">
        <v>2020</v>
      </c>
      <c r="I72" t="s">
        <v>14</v>
      </c>
      <c r="J72" t="s">
        <v>15</v>
      </c>
    </row>
    <row r="73" spans="1:10" x14ac:dyDescent="0.25">
      <c r="A73" t="s">
        <v>10</v>
      </c>
      <c r="B73" t="s">
        <v>86</v>
      </c>
      <c r="C73" t="s">
        <v>12</v>
      </c>
      <c r="D73">
        <v>412910</v>
      </c>
      <c r="E73" t="str">
        <f>"0412910"</f>
        <v>0412910</v>
      </c>
      <c r="F73">
        <v>157</v>
      </c>
      <c r="G73" t="s">
        <v>13</v>
      </c>
      <c r="H73">
        <v>2020</v>
      </c>
      <c r="I73" t="s">
        <v>14</v>
      </c>
      <c r="J73" t="s">
        <v>15</v>
      </c>
    </row>
    <row r="74" spans="1:10" x14ac:dyDescent="0.25">
      <c r="A74" t="s">
        <v>10</v>
      </c>
      <c r="B74" t="s">
        <v>87</v>
      </c>
      <c r="C74" t="s">
        <v>12</v>
      </c>
      <c r="D74">
        <v>413140</v>
      </c>
      <c r="E74" t="str">
        <f>"0413140"</f>
        <v>0413140</v>
      </c>
      <c r="F74">
        <v>83</v>
      </c>
      <c r="G74" t="s">
        <v>13</v>
      </c>
      <c r="H74">
        <v>2020</v>
      </c>
      <c r="I74" t="s">
        <v>14</v>
      </c>
      <c r="J74" t="s">
        <v>15</v>
      </c>
    </row>
    <row r="75" spans="1:10" x14ac:dyDescent="0.25">
      <c r="A75" t="s">
        <v>10</v>
      </c>
      <c r="B75" t="s">
        <v>88</v>
      </c>
      <c r="C75" t="s">
        <v>12</v>
      </c>
      <c r="D75">
        <v>413190</v>
      </c>
      <c r="E75" t="str">
        <f>"0413190"</f>
        <v>0413190</v>
      </c>
      <c r="F75">
        <v>215</v>
      </c>
      <c r="G75" t="s">
        <v>13</v>
      </c>
      <c r="H75">
        <v>2020</v>
      </c>
      <c r="I75" t="s">
        <v>14</v>
      </c>
      <c r="J75" t="s">
        <v>15</v>
      </c>
    </row>
    <row r="76" spans="1:10" x14ac:dyDescent="0.25">
      <c r="A76" t="s">
        <v>10</v>
      </c>
      <c r="B76" t="s">
        <v>89</v>
      </c>
      <c r="C76" t="s">
        <v>12</v>
      </c>
      <c r="D76">
        <v>413400</v>
      </c>
      <c r="E76" t="str">
        <f>"0413400"</f>
        <v>0413400</v>
      </c>
      <c r="F76">
        <v>2300</v>
      </c>
      <c r="G76" t="s">
        <v>13</v>
      </c>
      <c r="H76">
        <v>2020</v>
      </c>
      <c r="I76" t="s">
        <v>14</v>
      </c>
      <c r="J76" t="s">
        <v>15</v>
      </c>
    </row>
    <row r="77" spans="1:10" x14ac:dyDescent="0.25">
      <c r="A77" t="s">
        <v>10</v>
      </c>
      <c r="B77" t="s">
        <v>90</v>
      </c>
      <c r="C77" t="s">
        <v>12</v>
      </c>
      <c r="D77">
        <v>413470</v>
      </c>
      <c r="E77" t="str">
        <f>"0413470"</f>
        <v>0413470</v>
      </c>
      <c r="F77">
        <v>213</v>
      </c>
      <c r="G77" t="s">
        <v>13</v>
      </c>
      <c r="H77">
        <v>2020</v>
      </c>
      <c r="I77" t="s">
        <v>14</v>
      </c>
      <c r="J77" t="s">
        <v>15</v>
      </c>
    </row>
    <row r="78" spans="1:10" x14ac:dyDescent="0.25">
      <c r="A78" t="s">
        <v>10</v>
      </c>
      <c r="B78" t="s">
        <v>91</v>
      </c>
      <c r="C78" t="s">
        <v>12</v>
      </c>
      <c r="D78">
        <v>413540</v>
      </c>
      <c r="E78" t="str">
        <f>"0413540"</f>
        <v>0413540</v>
      </c>
      <c r="F78">
        <v>1640</v>
      </c>
      <c r="G78" t="s">
        <v>13</v>
      </c>
      <c r="H78">
        <v>2020</v>
      </c>
      <c r="I78" t="s">
        <v>14</v>
      </c>
      <c r="J78" t="s">
        <v>15</v>
      </c>
    </row>
    <row r="79" spans="1:10" x14ac:dyDescent="0.25">
      <c r="A79" t="s">
        <v>10</v>
      </c>
      <c r="B79" t="s">
        <v>92</v>
      </c>
      <c r="C79" t="s">
        <v>12</v>
      </c>
      <c r="D79">
        <v>413610</v>
      </c>
      <c r="E79" t="str">
        <f>"0413610"</f>
        <v>0413610</v>
      </c>
      <c r="F79">
        <v>857</v>
      </c>
      <c r="G79" t="s">
        <v>13</v>
      </c>
      <c r="H79">
        <v>2020</v>
      </c>
      <c r="I79" t="s">
        <v>14</v>
      </c>
      <c r="J79" t="s">
        <v>15</v>
      </c>
    </row>
    <row r="80" spans="1:10" x14ac:dyDescent="0.25">
      <c r="A80" t="s">
        <v>10</v>
      </c>
      <c r="B80" t="s">
        <v>93</v>
      </c>
      <c r="C80" t="s">
        <v>12</v>
      </c>
      <c r="D80">
        <v>413820</v>
      </c>
      <c r="E80" t="str">
        <f>"0413820"</f>
        <v>0413820</v>
      </c>
      <c r="F80">
        <v>5136</v>
      </c>
      <c r="G80" t="s">
        <v>13</v>
      </c>
      <c r="H80">
        <v>2020</v>
      </c>
      <c r="I80" t="s">
        <v>14</v>
      </c>
      <c r="J80" t="s">
        <v>15</v>
      </c>
    </row>
    <row r="81" spans="1:10" x14ac:dyDescent="0.25">
      <c r="A81" t="s">
        <v>10</v>
      </c>
      <c r="B81" t="s">
        <v>94</v>
      </c>
      <c r="C81" t="s">
        <v>12</v>
      </c>
      <c r="D81">
        <v>413850</v>
      </c>
      <c r="E81" t="str">
        <f>"0413850"</f>
        <v>0413850</v>
      </c>
      <c r="F81">
        <v>182</v>
      </c>
      <c r="G81" t="s">
        <v>13</v>
      </c>
      <c r="H81">
        <v>2020</v>
      </c>
      <c r="I81" t="s">
        <v>14</v>
      </c>
      <c r="J81" t="s">
        <v>15</v>
      </c>
    </row>
    <row r="82" spans="1:10" x14ac:dyDescent="0.25">
      <c r="A82" t="s">
        <v>10</v>
      </c>
      <c r="B82" t="s">
        <v>95</v>
      </c>
      <c r="C82" t="s">
        <v>12</v>
      </c>
      <c r="D82">
        <v>413890</v>
      </c>
      <c r="E82" t="str">
        <f>"0413890"</f>
        <v>0413890</v>
      </c>
      <c r="F82">
        <v>4642</v>
      </c>
      <c r="G82" t="s">
        <v>13</v>
      </c>
      <c r="H82">
        <v>2020</v>
      </c>
      <c r="I82" t="s">
        <v>14</v>
      </c>
      <c r="J82" t="s">
        <v>15</v>
      </c>
    </row>
    <row r="83" spans="1:10" x14ac:dyDescent="0.25">
      <c r="A83" t="s">
        <v>10</v>
      </c>
      <c r="B83" t="s">
        <v>96</v>
      </c>
      <c r="C83" t="s">
        <v>12</v>
      </c>
      <c r="D83">
        <v>413960</v>
      </c>
      <c r="E83" t="str">
        <f>"0413960"</f>
        <v>0413960</v>
      </c>
      <c r="F83">
        <v>1134</v>
      </c>
      <c r="G83" t="s">
        <v>13</v>
      </c>
      <c r="H83">
        <v>2020</v>
      </c>
      <c r="I83" t="s">
        <v>14</v>
      </c>
      <c r="J83" t="s">
        <v>15</v>
      </c>
    </row>
    <row r="84" spans="1:10" x14ac:dyDescent="0.25">
      <c r="A84" t="s">
        <v>10</v>
      </c>
      <c r="B84" t="s">
        <v>97</v>
      </c>
      <c r="C84" t="s">
        <v>12</v>
      </c>
      <c r="D84">
        <v>414030</v>
      </c>
      <c r="E84" t="str">
        <f>"0414030"</f>
        <v>0414030</v>
      </c>
      <c r="F84">
        <v>205</v>
      </c>
      <c r="G84" t="s">
        <v>13</v>
      </c>
      <c r="H84">
        <v>2020</v>
      </c>
      <c r="I84" t="s">
        <v>14</v>
      </c>
      <c r="J84" t="s">
        <v>15</v>
      </c>
    </row>
    <row r="85" spans="1:10" x14ac:dyDescent="0.25">
      <c r="A85" t="s">
        <v>10</v>
      </c>
      <c r="B85" t="s">
        <v>98</v>
      </c>
      <c r="C85" t="s">
        <v>12</v>
      </c>
      <c r="D85">
        <v>414380</v>
      </c>
      <c r="E85" t="str">
        <f>"0414380"</f>
        <v>0414380</v>
      </c>
      <c r="F85">
        <v>3845</v>
      </c>
      <c r="G85" t="s">
        <v>13</v>
      </c>
      <c r="H85">
        <v>2020</v>
      </c>
      <c r="I85" t="s">
        <v>14</v>
      </c>
      <c r="J85" t="s">
        <v>15</v>
      </c>
    </row>
    <row r="86" spans="1:10" x14ac:dyDescent="0.25">
      <c r="A86" t="s">
        <v>10</v>
      </c>
      <c r="B86" t="s">
        <v>99</v>
      </c>
      <c r="C86" t="s">
        <v>12</v>
      </c>
      <c r="D86">
        <v>414870</v>
      </c>
      <c r="E86" t="str">
        <f>"0414870"</f>
        <v>0414870</v>
      </c>
      <c r="F86">
        <v>2598</v>
      </c>
      <c r="G86" t="s">
        <v>13</v>
      </c>
      <c r="H86">
        <v>2020</v>
      </c>
      <c r="I86" t="s">
        <v>14</v>
      </c>
      <c r="J86" t="s">
        <v>15</v>
      </c>
    </row>
    <row r="87" spans="1:10" x14ac:dyDescent="0.25">
      <c r="A87" t="s">
        <v>10</v>
      </c>
      <c r="B87" t="s">
        <v>100</v>
      </c>
      <c r="C87" t="s">
        <v>12</v>
      </c>
      <c r="D87">
        <v>415080</v>
      </c>
      <c r="E87" t="str">
        <f>"0415080"</f>
        <v>0415080</v>
      </c>
      <c r="F87">
        <v>0</v>
      </c>
      <c r="G87" t="s">
        <v>13</v>
      </c>
      <c r="H87">
        <v>2020</v>
      </c>
      <c r="I87" t="s">
        <v>14</v>
      </c>
      <c r="J87" t="s">
        <v>15</v>
      </c>
    </row>
    <row r="88" spans="1:10" x14ac:dyDescent="0.25">
      <c r="A88" t="s">
        <v>10</v>
      </c>
      <c r="B88" t="s">
        <v>101</v>
      </c>
      <c r="C88" t="s">
        <v>12</v>
      </c>
      <c r="D88">
        <v>415150</v>
      </c>
      <c r="E88" t="str">
        <f>"0415150"</f>
        <v>0415150</v>
      </c>
      <c r="F88">
        <v>0</v>
      </c>
      <c r="G88" t="s">
        <v>13</v>
      </c>
      <c r="H88">
        <v>2020</v>
      </c>
      <c r="I88" t="s">
        <v>14</v>
      </c>
      <c r="J88" t="s">
        <v>15</v>
      </c>
    </row>
    <row r="89" spans="1:10" x14ac:dyDescent="0.25">
      <c r="A89" t="s">
        <v>10</v>
      </c>
      <c r="B89" t="s">
        <v>102</v>
      </c>
      <c r="C89" t="s">
        <v>12</v>
      </c>
      <c r="D89">
        <v>415220</v>
      </c>
      <c r="E89" t="str">
        <f>"0415220"</f>
        <v>0415220</v>
      </c>
      <c r="F89">
        <v>1700</v>
      </c>
      <c r="G89" t="s">
        <v>13</v>
      </c>
      <c r="H89">
        <v>2020</v>
      </c>
      <c r="I89" t="s">
        <v>14</v>
      </c>
      <c r="J89" t="s">
        <v>15</v>
      </c>
    </row>
    <row r="90" spans="1:10" x14ac:dyDescent="0.25">
      <c r="A90" t="s">
        <v>10</v>
      </c>
      <c r="B90" t="s">
        <v>103</v>
      </c>
      <c r="C90" t="s">
        <v>12</v>
      </c>
      <c r="D90">
        <v>415500</v>
      </c>
      <c r="E90" t="str">
        <f>"0415500"</f>
        <v>0415500</v>
      </c>
      <c r="F90">
        <v>15300</v>
      </c>
      <c r="G90" t="s">
        <v>13</v>
      </c>
      <c r="H90">
        <v>2020</v>
      </c>
      <c r="I90" t="s">
        <v>14</v>
      </c>
      <c r="J90" t="s">
        <v>15</v>
      </c>
    </row>
    <row r="91" spans="1:10" x14ac:dyDescent="0.25">
      <c r="A91" t="s">
        <v>10</v>
      </c>
      <c r="B91" t="s">
        <v>104</v>
      </c>
      <c r="C91" t="s">
        <v>12</v>
      </c>
      <c r="D91">
        <v>415600</v>
      </c>
      <c r="E91" t="str">
        <f>"0415600"</f>
        <v>0415600</v>
      </c>
      <c r="F91">
        <v>130</v>
      </c>
      <c r="G91" t="s">
        <v>13</v>
      </c>
      <c r="H91">
        <v>2020</v>
      </c>
      <c r="I91" t="s">
        <v>14</v>
      </c>
      <c r="J91" t="s">
        <v>15</v>
      </c>
    </row>
    <row r="92" spans="1:10" x14ac:dyDescent="0.25">
      <c r="A92" t="s">
        <v>10</v>
      </c>
      <c r="B92" t="s">
        <v>105</v>
      </c>
      <c r="C92" t="s">
        <v>12</v>
      </c>
      <c r="D92">
        <v>415765</v>
      </c>
      <c r="E92" t="str">
        <f>"0415765"</f>
        <v>0415765</v>
      </c>
      <c r="F92">
        <v>3218</v>
      </c>
      <c r="G92" t="s">
        <v>13</v>
      </c>
      <c r="H92">
        <v>2020</v>
      </c>
      <c r="I92" t="s">
        <v>14</v>
      </c>
      <c r="J92" t="s">
        <v>15</v>
      </c>
    </row>
    <row r="93" spans="1:10" x14ac:dyDescent="0.25">
      <c r="A93" t="s">
        <v>10</v>
      </c>
      <c r="B93" t="s">
        <v>106</v>
      </c>
      <c r="C93" t="s">
        <v>12</v>
      </c>
      <c r="D93">
        <v>415850</v>
      </c>
      <c r="E93" t="str">
        <f>"0415850"</f>
        <v>0415850</v>
      </c>
      <c r="F93">
        <v>373</v>
      </c>
      <c r="G93" t="s">
        <v>13</v>
      </c>
      <c r="H93">
        <v>2020</v>
      </c>
      <c r="I93" t="s">
        <v>14</v>
      </c>
      <c r="J93" t="s">
        <v>15</v>
      </c>
    </row>
    <row r="94" spans="1:10" x14ac:dyDescent="0.25">
      <c r="A94" t="s">
        <v>10</v>
      </c>
      <c r="B94" t="s">
        <v>107</v>
      </c>
      <c r="C94" t="s">
        <v>12</v>
      </c>
      <c r="D94">
        <v>415920</v>
      </c>
      <c r="E94" t="str">
        <f>"0415920"</f>
        <v>0415920</v>
      </c>
      <c r="F94">
        <v>3356</v>
      </c>
      <c r="G94" t="s">
        <v>13</v>
      </c>
      <c r="H94">
        <v>2020</v>
      </c>
      <c r="I94" t="s">
        <v>14</v>
      </c>
      <c r="J94" t="s">
        <v>15</v>
      </c>
    </row>
    <row r="95" spans="1:10" x14ac:dyDescent="0.25">
      <c r="A95" t="s">
        <v>10</v>
      </c>
      <c r="B95" t="s">
        <v>108</v>
      </c>
      <c r="C95" t="s">
        <v>12</v>
      </c>
      <c r="D95">
        <v>416030</v>
      </c>
      <c r="E95" t="str">
        <f>"0416030"</f>
        <v>0416030</v>
      </c>
      <c r="F95">
        <v>9039</v>
      </c>
      <c r="G95" t="s">
        <v>13</v>
      </c>
      <c r="H95">
        <v>2020</v>
      </c>
      <c r="I95" t="s">
        <v>14</v>
      </c>
      <c r="J95" t="s">
        <v>15</v>
      </c>
    </row>
    <row r="96" spans="1:10" x14ac:dyDescent="0.25">
      <c r="A96" t="s">
        <v>10</v>
      </c>
      <c r="B96" t="s">
        <v>109</v>
      </c>
      <c r="C96" t="s">
        <v>12</v>
      </c>
      <c r="D96">
        <v>416360</v>
      </c>
      <c r="E96" t="str">
        <f>"0416360"</f>
        <v>0416360</v>
      </c>
      <c r="F96">
        <v>122</v>
      </c>
      <c r="G96" t="s">
        <v>13</v>
      </c>
      <c r="H96">
        <v>2020</v>
      </c>
      <c r="I96" t="s">
        <v>14</v>
      </c>
      <c r="J96" t="s">
        <v>15</v>
      </c>
    </row>
    <row r="97" spans="1:10" x14ac:dyDescent="0.25">
      <c r="A97" t="s">
        <v>10</v>
      </c>
      <c r="B97" t="s">
        <v>109</v>
      </c>
      <c r="C97" t="s">
        <v>12</v>
      </c>
      <c r="D97">
        <v>416410</v>
      </c>
      <c r="E97" t="str">
        <f>"0416410"</f>
        <v>0416410</v>
      </c>
      <c r="F97">
        <v>12547</v>
      </c>
      <c r="G97" t="s">
        <v>13</v>
      </c>
      <c r="H97">
        <v>2020</v>
      </c>
      <c r="I97" t="s">
        <v>14</v>
      </c>
      <c r="J97" t="s">
        <v>15</v>
      </c>
    </row>
    <row r="98" spans="1:10" x14ac:dyDescent="0.25">
      <c r="A98" t="s">
        <v>10</v>
      </c>
      <c r="B98" t="s">
        <v>110</v>
      </c>
      <c r="C98" t="s">
        <v>12</v>
      </c>
      <c r="D98">
        <v>416830</v>
      </c>
      <c r="E98" t="str">
        <f>"0416830"</f>
        <v>0416830</v>
      </c>
      <c r="F98">
        <v>0</v>
      </c>
      <c r="G98" t="s">
        <v>13</v>
      </c>
      <c r="H98">
        <v>2020</v>
      </c>
      <c r="I98" t="s">
        <v>14</v>
      </c>
      <c r="J98" t="s">
        <v>15</v>
      </c>
    </row>
    <row r="99" spans="1:10" x14ac:dyDescent="0.25">
      <c r="A99" t="s">
        <v>10</v>
      </c>
      <c r="B99" t="s">
        <v>111</v>
      </c>
      <c r="C99" t="s">
        <v>12</v>
      </c>
      <c r="D99">
        <v>417460</v>
      </c>
      <c r="E99" t="str">
        <f>"0417460"</f>
        <v>0417460</v>
      </c>
      <c r="F99">
        <v>19</v>
      </c>
      <c r="G99" t="s">
        <v>13</v>
      </c>
      <c r="H99">
        <v>2020</v>
      </c>
      <c r="I99" t="s">
        <v>14</v>
      </c>
      <c r="J99" t="s">
        <v>15</v>
      </c>
    </row>
    <row r="100" spans="1:10" x14ac:dyDescent="0.25">
      <c r="A100" t="s">
        <v>10</v>
      </c>
      <c r="B100" t="s">
        <v>112</v>
      </c>
      <c r="C100" t="s">
        <v>12</v>
      </c>
      <c r="D100">
        <v>417500</v>
      </c>
      <c r="E100" t="str">
        <f>"0417500"</f>
        <v>0417500</v>
      </c>
      <c r="F100">
        <v>232</v>
      </c>
      <c r="G100" t="s">
        <v>13</v>
      </c>
      <c r="H100">
        <v>2020</v>
      </c>
      <c r="I100" t="s">
        <v>14</v>
      </c>
      <c r="J100" t="s">
        <v>15</v>
      </c>
    </row>
    <row r="101" spans="1:10" x14ac:dyDescent="0.25">
      <c r="A101" t="s">
        <v>10</v>
      </c>
      <c r="B101" t="s">
        <v>113</v>
      </c>
      <c r="C101" t="s">
        <v>12</v>
      </c>
      <c r="D101">
        <v>417810</v>
      </c>
      <c r="E101" t="str">
        <f>"0417810"</f>
        <v>0417810</v>
      </c>
      <c r="F101">
        <v>189</v>
      </c>
      <c r="G101" t="s">
        <v>13</v>
      </c>
      <c r="H101">
        <v>2020</v>
      </c>
      <c r="I101" t="s">
        <v>14</v>
      </c>
      <c r="J101" t="s">
        <v>15</v>
      </c>
    </row>
    <row r="102" spans="1:10" x14ac:dyDescent="0.25">
      <c r="A102" t="s">
        <v>10</v>
      </c>
      <c r="B102" t="s">
        <v>114</v>
      </c>
      <c r="C102" t="s">
        <v>12</v>
      </c>
      <c r="D102">
        <v>418160</v>
      </c>
      <c r="E102" t="str">
        <f>"0418160"</f>
        <v>0418160</v>
      </c>
      <c r="F102">
        <v>220</v>
      </c>
      <c r="G102" t="s">
        <v>13</v>
      </c>
      <c r="H102">
        <v>2020</v>
      </c>
      <c r="I102" t="s">
        <v>14</v>
      </c>
      <c r="J102" t="s">
        <v>15</v>
      </c>
    </row>
    <row r="103" spans="1:10" x14ac:dyDescent="0.25">
      <c r="A103" t="s">
        <v>10</v>
      </c>
      <c r="B103" t="s">
        <v>115</v>
      </c>
      <c r="C103" t="s">
        <v>12</v>
      </c>
      <c r="D103">
        <v>418448</v>
      </c>
      <c r="E103" t="str">
        <f>"0418448"</f>
        <v>0418448</v>
      </c>
      <c r="F103">
        <v>201</v>
      </c>
      <c r="G103" t="s">
        <v>13</v>
      </c>
      <c r="H103">
        <v>2020</v>
      </c>
      <c r="I103" t="s">
        <v>14</v>
      </c>
      <c r="J103" t="s">
        <v>15</v>
      </c>
    </row>
    <row r="104" spans="1:10" x14ac:dyDescent="0.25">
      <c r="A104" t="s">
        <v>10</v>
      </c>
      <c r="B104" t="s">
        <v>116</v>
      </c>
      <c r="C104" t="s">
        <v>12</v>
      </c>
      <c r="D104">
        <v>418490</v>
      </c>
      <c r="E104" t="str">
        <f>"0418490"</f>
        <v>0418490</v>
      </c>
      <c r="F104">
        <v>495</v>
      </c>
      <c r="G104" t="s">
        <v>13</v>
      </c>
      <c r="H104">
        <v>2020</v>
      </c>
      <c r="I104" t="s">
        <v>14</v>
      </c>
      <c r="J104" t="s">
        <v>15</v>
      </c>
    </row>
    <row r="105" spans="1:10" x14ac:dyDescent="0.25">
      <c r="A105" t="s">
        <v>10</v>
      </c>
      <c r="B105" t="s">
        <v>117</v>
      </c>
      <c r="C105" t="s">
        <v>12</v>
      </c>
      <c r="D105">
        <v>418580</v>
      </c>
      <c r="E105" t="str">
        <f>"0418580"</f>
        <v>0418580</v>
      </c>
      <c r="F105">
        <v>491</v>
      </c>
      <c r="G105" t="s">
        <v>13</v>
      </c>
      <c r="H105">
        <v>2020</v>
      </c>
      <c r="I105" t="s">
        <v>14</v>
      </c>
      <c r="J105" t="s">
        <v>15</v>
      </c>
    </row>
    <row r="106" spans="1:10" x14ac:dyDescent="0.25">
      <c r="A106" t="s">
        <v>10</v>
      </c>
      <c r="B106" t="s">
        <v>118</v>
      </c>
      <c r="C106" t="s">
        <v>12</v>
      </c>
      <c r="D106">
        <v>418740</v>
      </c>
      <c r="E106" t="str">
        <f>"0418740"</f>
        <v>0418740</v>
      </c>
      <c r="F106">
        <v>2910</v>
      </c>
      <c r="G106" t="s">
        <v>13</v>
      </c>
      <c r="H106">
        <v>2020</v>
      </c>
      <c r="I106" t="s">
        <v>14</v>
      </c>
      <c r="J106" t="s">
        <v>15</v>
      </c>
    </row>
    <row r="107" spans="1:10" x14ac:dyDescent="0.25">
      <c r="A107" t="s">
        <v>10</v>
      </c>
      <c r="B107" t="s">
        <v>119</v>
      </c>
      <c r="C107" t="s">
        <v>12</v>
      </c>
      <c r="D107">
        <v>419145</v>
      </c>
      <c r="E107" t="str">
        <f>"0419145"</f>
        <v>0419145</v>
      </c>
      <c r="F107">
        <v>4428</v>
      </c>
      <c r="G107" t="s">
        <v>13</v>
      </c>
      <c r="H107">
        <v>2020</v>
      </c>
      <c r="I107" t="s">
        <v>14</v>
      </c>
      <c r="J107" t="s">
        <v>15</v>
      </c>
    </row>
    <row r="108" spans="1:10" x14ac:dyDescent="0.25">
      <c r="A108" t="s">
        <v>10</v>
      </c>
      <c r="B108" t="s">
        <v>120</v>
      </c>
      <c r="C108" t="s">
        <v>12</v>
      </c>
      <c r="D108">
        <v>419280</v>
      </c>
      <c r="E108" t="str">
        <f>"0419280"</f>
        <v>0419280</v>
      </c>
      <c r="F108">
        <v>1267</v>
      </c>
      <c r="G108" t="s">
        <v>13</v>
      </c>
      <c r="H108">
        <v>2020</v>
      </c>
      <c r="I108" t="s">
        <v>14</v>
      </c>
      <c r="J108" t="s">
        <v>15</v>
      </c>
    </row>
    <row r="109" spans="1:10" x14ac:dyDescent="0.25">
      <c r="A109" t="s">
        <v>10</v>
      </c>
      <c r="B109" t="s">
        <v>121</v>
      </c>
      <c r="C109" t="s">
        <v>12</v>
      </c>
      <c r="D109">
        <v>419630</v>
      </c>
      <c r="E109" t="str">
        <f>"0419630"</f>
        <v>0419630</v>
      </c>
      <c r="F109">
        <v>1354</v>
      </c>
      <c r="G109" t="s">
        <v>13</v>
      </c>
      <c r="H109">
        <v>2020</v>
      </c>
      <c r="I109" t="s">
        <v>14</v>
      </c>
      <c r="J109" t="s">
        <v>15</v>
      </c>
    </row>
    <row r="110" spans="1:10" x14ac:dyDescent="0.25">
      <c r="A110" t="s">
        <v>10</v>
      </c>
      <c r="B110" t="s">
        <v>122</v>
      </c>
      <c r="C110" t="s">
        <v>12</v>
      </c>
      <c r="D110">
        <v>419740</v>
      </c>
      <c r="E110" t="str">
        <f>"0419740"</f>
        <v>0419740</v>
      </c>
      <c r="F110">
        <v>5947</v>
      </c>
      <c r="G110" t="s">
        <v>13</v>
      </c>
      <c r="H110">
        <v>2020</v>
      </c>
      <c r="I110" t="s">
        <v>14</v>
      </c>
      <c r="J110" t="s">
        <v>15</v>
      </c>
    </row>
    <row r="111" spans="1:10" x14ac:dyDescent="0.25">
      <c r="A111" t="s">
        <v>10</v>
      </c>
      <c r="B111" t="s">
        <v>123</v>
      </c>
      <c r="C111" t="s">
        <v>12</v>
      </c>
      <c r="D111">
        <v>419790</v>
      </c>
      <c r="E111" t="str">
        <f>"0419790"</f>
        <v>0419790</v>
      </c>
      <c r="F111">
        <v>623</v>
      </c>
      <c r="G111" t="s">
        <v>13</v>
      </c>
      <c r="H111">
        <v>2020</v>
      </c>
      <c r="I111" t="s">
        <v>14</v>
      </c>
      <c r="J111" t="s">
        <v>15</v>
      </c>
    </row>
    <row r="112" spans="1:10" x14ac:dyDescent="0.25">
      <c r="A112" t="s">
        <v>10</v>
      </c>
      <c r="B112" t="s">
        <v>124</v>
      </c>
      <c r="C112" t="s">
        <v>12</v>
      </c>
      <c r="D112">
        <v>420050</v>
      </c>
      <c r="E112" t="str">
        <f>"0420050"</f>
        <v>0420050</v>
      </c>
      <c r="F112">
        <v>16118</v>
      </c>
      <c r="G112" t="s">
        <v>13</v>
      </c>
      <c r="H112">
        <v>2020</v>
      </c>
      <c r="I112" t="s">
        <v>14</v>
      </c>
      <c r="J112" t="s">
        <v>15</v>
      </c>
    </row>
    <row r="113" spans="1:10" x14ac:dyDescent="0.25">
      <c r="A113" t="s">
        <v>10</v>
      </c>
      <c r="B113" t="s">
        <v>125</v>
      </c>
      <c r="C113" t="s">
        <v>12</v>
      </c>
      <c r="D113">
        <v>420330</v>
      </c>
      <c r="E113" t="str">
        <f>"0420330"</f>
        <v>0420330</v>
      </c>
      <c r="F113">
        <v>227</v>
      </c>
      <c r="G113" t="s">
        <v>13</v>
      </c>
      <c r="H113">
        <v>2020</v>
      </c>
      <c r="I113" t="s">
        <v>14</v>
      </c>
      <c r="J113" t="s">
        <v>15</v>
      </c>
    </row>
    <row r="114" spans="1:10" x14ac:dyDescent="0.25">
      <c r="A114" t="s">
        <v>10</v>
      </c>
      <c r="B114" t="s">
        <v>126</v>
      </c>
      <c r="C114" t="s">
        <v>12</v>
      </c>
      <c r="D114">
        <v>420540</v>
      </c>
      <c r="E114" t="str">
        <f>"0420540"</f>
        <v>0420540</v>
      </c>
      <c r="F114">
        <v>27636</v>
      </c>
      <c r="G114" t="s">
        <v>13</v>
      </c>
      <c r="H114">
        <v>2020</v>
      </c>
      <c r="I114" t="s">
        <v>14</v>
      </c>
      <c r="J114" t="s">
        <v>15</v>
      </c>
    </row>
    <row r="115" spans="1:10" x14ac:dyDescent="0.25">
      <c r="A115" t="s">
        <v>10</v>
      </c>
      <c r="B115" t="s">
        <v>127</v>
      </c>
      <c r="C115" t="s">
        <v>12</v>
      </c>
      <c r="D115">
        <v>420560</v>
      </c>
      <c r="E115" t="str">
        <f>"0420560"</f>
        <v>0420560</v>
      </c>
      <c r="F115">
        <v>277</v>
      </c>
      <c r="G115" t="s">
        <v>13</v>
      </c>
      <c r="H115">
        <v>2020</v>
      </c>
      <c r="I115" t="s">
        <v>14</v>
      </c>
      <c r="J115" t="s">
        <v>15</v>
      </c>
    </row>
    <row r="116" spans="1:10" x14ac:dyDescent="0.25">
      <c r="A116" t="s">
        <v>10</v>
      </c>
      <c r="B116" t="s">
        <v>128</v>
      </c>
      <c r="C116" t="s">
        <v>12</v>
      </c>
      <c r="D116">
        <v>420570</v>
      </c>
      <c r="E116" t="str">
        <f>"0420570"</f>
        <v>0420570</v>
      </c>
      <c r="F116">
        <v>66</v>
      </c>
      <c r="G116" t="s">
        <v>13</v>
      </c>
      <c r="H116">
        <v>2020</v>
      </c>
      <c r="I116" t="s">
        <v>14</v>
      </c>
      <c r="J116" t="s">
        <v>15</v>
      </c>
    </row>
    <row r="117" spans="1:10" x14ac:dyDescent="0.25">
      <c r="A117" t="s">
        <v>10</v>
      </c>
      <c r="B117" t="s">
        <v>129</v>
      </c>
      <c r="C117" t="s">
        <v>12</v>
      </c>
      <c r="D117">
        <v>420680</v>
      </c>
      <c r="E117" t="str">
        <f>"0420680"</f>
        <v>0420680</v>
      </c>
      <c r="F117">
        <v>458</v>
      </c>
      <c r="G117" t="s">
        <v>13</v>
      </c>
      <c r="H117">
        <v>2020</v>
      </c>
      <c r="I117" t="s">
        <v>14</v>
      </c>
      <c r="J117" t="s">
        <v>15</v>
      </c>
    </row>
    <row r="118" spans="1:10" x14ac:dyDescent="0.25">
      <c r="A118" t="s">
        <v>10</v>
      </c>
      <c r="B118" t="s">
        <v>130</v>
      </c>
      <c r="C118" t="s">
        <v>12</v>
      </c>
      <c r="D118">
        <v>420750</v>
      </c>
      <c r="E118" t="str">
        <f>"0420750"</f>
        <v>0420750</v>
      </c>
      <c r="F118">
        <v>1063</v>
      </c>
      <c r="G118" t="s">
        <v>13</v>
      </c>
      <c r="H118">
        <v>2020</v>
      </c>
      <c r="I118" t="s">
        <v>14</v>
      </c>
      <c r="J118" t="s">
        <v>15</v>
      </c>
    </row>
    <row r="119" spans="1:10" x14ac:dyDescent="0.25">
      <c r="A119" t="s">
        <v>10</v>
      </c>
      <c r="B119" t="s">
        <v>131</v>
      </c>
      <c r="C119" t="s">
        <v>12</v>
      </c>
      <c r="D119">
        <v>420960</v>
      </c>
      <c r="E119" t="str">
        <f>"0420960"</f>
        <v>0420960</v>
      </c>
      <c r="F119">
        <v>4410</v>
      </c>
      <c r="G119" t="s">
        <v>13</v>
      </c>
      <c r="H119">
        <v>2020</v>
      </c>
      <c r="I119" t="s">
        <v>14</v>
      </c>
      <c r="J119" t="s">
        <v>15</v>
      </c>
    </row>
    <row r="120" spans="1:10" x14ac:dyDescent="0.25">
      <c r="A120" t="s">
        <v>10</v>
      </c>
      <c r="B120" t="s">
        <v>132</v>
      </c>
      <c r="C120" t="s">
        <v>12</v>
      </c>
      <c r="D120">
        <v>421310</v>
      </c>
      <c r="E120" t="str">
        <f>"0421310"</f>
        <v>0421310</v>
      </c>
      <c r="F120">
        <v>492</v>
      </c>
      <c r="G120" t="s">
        <v>13</v>
      </c>
      <c r="H120">
        <v>2020</v>
      </c>
      <c r="I120" t="s">
        <v>14</v>
      </c>
      <c r="J120" t="s">
        <v>15</v>
      </c>
    </row>
    <row r="121" spans="1:10" x14ac:dyDescent="0.25">
      <c r="A121" t="s">
        <v>10</v>
      </c>
      <c r="B121" t="s">
        <v>133</v>
      </c>
      <c r="C121" t="s">
        <v>12</v>
      </c>
      <c r="D121">
        <v>421410</v>
      </c>
      <c r="E121" t="str">
        <f>"0421410"</f>
        <v>0421410</v>
      </c>
      <c r="F121">
        <v>296</v>
      </c>
      <c r="G121" t="s">
        <v>13</v>
      </c>
      <c r="H121">
        <v>2020</v>
      </c>
      <c r="I121" t="s">
        <v>14</v>
      </c>
      <c r="J121" t="s">
        <v>15</v>
      </c>
    </row>
    <row r="122" spans="1:10" x14ac:dyDescent="0.25">
      <c r="A122" t="s">
        <v>10</v>
      </c>
      <c r="B122" t="s">
        <v>134</v>
      </c>
      <c r="C122" t="s">
        <v>12</v>
      </c>
      <c r="D122">
        <v>421545</v>
      </c>
      <c r="E122" t="str">
        <f>"0421545"</f>
        <v>0421545</v>
      </c>
      <c r="F122">
        <v>182</v>
      </c>
      <c r="G122" t="s">
        <v>13</v>
      </c>
      <c r="H122">
        <v>2020</v>
      </c>
      <c r="I122" t="s">
        <v>14</v>
      </c>
      <c r="J122" t="s">
        <v>15</v>
      </c>
    </row>
    <row r="123" spans="1:10" x14ac:dyDescent="0.25">
      <c r="A123" t="s">
        <v>10</v>
      </c>
      <c r="B123" t="s">
        <v>135</v>
      </c>
      <c r="C123" t="s">
        <v>12</v>
      </c>
      <c r="D123">
        <v>421800</v>
      </c>
      <c r="E123" t="str">
        <f>"0421800"</f>
        <v>0421800</v>
      </c>
      <c r="F123">
        <v>946</v>
      </c>
      <c r="G123" t="s">
        <v>13</v>
      </c>
      <c r="H123">
        <v>2020</v>
      </c>
      <c r="I123" t="s">
        <v>14</v>
      </c>
      <c r="J123" t="s">
        <v>15</v>
      </c>
    </row>
    <row r="124" spans="1:10" x14ac:dyDescent="0.25">
      <c r="A124" t="s">
        <v>10</v>
      </c>
      <c r="B124" t="s">
        <v>136</v>
      </c>
      <c r="C124" t="s">
        <v>12</v>
      </c>
      <c r="D124">
        <v>421900</v>
      </c>
      <c r="E124" t="str">
        <f>"0421900"</f>
        <v>0421900</v>
      </c>
      <c r="F124">
        <v>0</v>
      </c>
      <c r="G124" t="s">
        <v>13</v>
      </c>
      <c r="H124">
        <v>2020</v>
      </c>
      <c r="I124" t="s">
        <v>14</v>
      </c>
      <c r="J124" t="s">
        <v>15</v>
      </c>
    </row>
    <row r="125" spans="1:10" x14ac:dyDescent="0.25">
      <c r="A125" t="s">
        <v>10</v>
      </c>
      <c r="B125" t="s">
        <v>137</v>
      </c>
      <c r="C125" t="s">
        <v>12</v>
      </c>
      <c r="D125">
        <v>421980</v>
      </c>
      <c r="E125" t="str">
        <f>"0421980"</f>
        <v>0421980</v>
      </c>
      <c r="F125">
        <v>572</v>
      </c>
      <c r="G125" t="s">
        <v>13</v>
      </c>
      <c r="H125">
        <v>2020</v>
      </c>
      <c r="I125" t="s">
        <v>14</v>
      </c>
      <c r="J125" t="s">
        <v>15</v>
      </c>
    </row>
    <row r="126" spans="1:10" x14ac:dyDescent="0.25">
      <c r="A126" t="s">
        <v>10</v>
      </c>
      <c r="B126" t="s">
        <v>138</v>
      </c>
      <c r="C126" t="s">
        <v>12</v>
      </c>
      <c r="D126">
        <v>422080</v>
      </c>
      <c r="E126" t="str">
        <f>"0422080"</f>
        <v>0422080</v>
      </c>
      <c r="F126">
        <v>131</v>
      </c>
      <c r="G126" t="s">
        <v>13</v>
      </c>
      <c r="H126">
        <v>2020</v>
      </c>
      <c r="I126" t="s">
        <v>14</v>
      </c>
      <c r="J126" t="s">
        <v>15</v>
      </c>
    </row>
    <row r="127" spans="1:10" x14ac:dyDescent="0.25">
      <c r="A127" t="s">
        <v>10</v>
      </c>
      <c r="B127" t="s">
        <v>139</v>
      </c>
      <c r="C127" t="s">
        <v>12</v>
      </c>
      <c r="D127">
        <v>422150</v>
      </c>
      <c r="E127" t="str">
        <f>"0422150"</f>
        <v>0422150</v>
      </c>
      <c r="F127">
        <v>190</v>
      </c>
      <c r="G127" t="s">
        <v>13</v>
      </c>
      <c r="H127">
        <v>2020</v>
      </c>
      <c r="I127" t="s">
        <v>14</v>
      </c>
      <c r="J127" t="s">
        <v>15</v>
      </c>
    </row>
    <row r="128" spans="1:10" x14ac:dyDescent="0.25">
      <c r="A128" t="s">
        <v>10</v>
      </c>
      <c r="B128" t="s">
        <v>140</v>
      </c>
      <c r="C128" t="s">
        <v>12</v>
      </c>
      <c r="D128">
        <v>422220</v>
      </c>
      <c r="E128" t="str">
        <f>"0422220"</f>
        <v>0422220</v>
      </c>
      <c r="F128">
        <v>35823</v>
      </c>
      <c r="G128" t="s">
        <v>13</v>
      </c>
      <c r="H128">
        <v>2020</v>
      </c>
      <c r="I128" t="s">
        <v>14</v>
      </c>
      <c r="J128" t="s">
        <v>15</v>
      </c>
    </row>
    <row r="129" spans="1:10" x14ac:dyDescent="0.25">
      <c r="A129" t="s">
        <v>10</v>
      </c>
      <c r="B129" t="s">
        <v>141</v>
      </c>
      <c r="C129" t="s">
        <v>12</v>
      </c>
      <c r="D129">
        <v>422360</v>
      </c>
      <c r="E129" t="str">
        <f>"0422360"</f>
        <v>0422360</v>
      </c>
      <c r="F129">
        <v>16671</v>
      </c>
      <c r="G129" t="s">
        <v>13</v>
      </c>
      <c r="H129">
        <v>2020</v>
      </c>
      <c r="I129" t="s">
        <v>14</v>
      </c>
      <c r="J129" t="s">
        <v>15</v>
      </c>
    </row>
    <row r="130" spans="1:10" x14ac:dyDescent="0.25">
      <c r="A130" t="s">
        <v>10</v>
      </c>
      <c r="B130" t="s">
        <v>142</v>
      </c>
      <c r="C130" t="s">
        <v>12</v>
      </c>
      <c r="D130">
        <v>422400</v>
      </c>
      <c r="E130" t="str">
        <f>"0422400"</f>
        <v>0422400</v>
      </c>
      <c r="F130">
        <v>390</v>
      </c>
      <c r="G130" t="s">
        <v>13</v>
      </c>
      <c r="H130">
        <v>2020</v>
      </c>
      <c r="I130" t="s">
        <v>14</v>
      </c>
      <c r="J130" t="s">
        <v>15</v>
      </c>
    </row>
    <row r="131" spans="1:10" x14ac:dyDescent="0.25">
      <c r="A131" t="s">
        <v>10</v>
      </c>
      <c r="B131" t="s">
        <v>143</v>
      </c>
      <c r="C131" t="s">
        <v>12</v>
      </c>
      <c r="D131">
        <v>423512</v>
      </c>
      <c r="E131" t="str">
        <f>"0423512"</f>
        <v>0423512</v>
      </c>
      <c r="F131">
        <v>1381</v>
      </c>
      <c r="G131" t="s">
        <v>13</v>
      </c>
      <c r="H131">
        <v>2020</v>
      </c>
      <c r="I131" t="s">
        <v>14</v>
      </c>
      <c r="J131" t="s">
        <v>15</v>
      </c>
    </row>
    <row r="132" spans="1:10" x14ac:dyDescent="0.25">
      <c r="A132" t="s">
        <v>10</v>
      </c>
      <c r="B132" t="s">
        <v>144</v>
      </c>
      <c r="C132" t="s">
        <v>12</v>
      </c>
      <c r="D132">
        <v>423620</v>
      </c>
      <c r="E132" t="str">
        <f>"0423620"</f>
        <v>0423620</v>
      </c>
      <c r="F132">
        <v>76333</v>
      </c>
      <c r="G132" t="s">
        <v>13</v>
      </c>
      <c r="H132">
        <v>2020</v>
      </c>
      <c r="I132" t="s">
        <v>14</v>
      </c>
      <c r="J132" t="s">
        <v>15</v>
      </c>
    </row>
    <row r="133" spans="1:10" x14ac:dyDescent="0.25">
      <c r="A133" t="s">
        <v>10</v>
      </c>
      <c r="B133" t="s">
        <v>145</v>
      </c>
      <c r="C133" t="s">
        <v>12</v>
      </c>
      <c r="D133">
        <v>423760</v>
      </c>
      <c r="E133" t="str">
        <f>"0423760"</f>
        <v>0423760</v>
      </c>
      <c r="F133">
        <v>25961</v>
      </c>
      <c r="G133" t="s">
        <v>13</v>
      </c>
      <c r="H133">
        <v>2020</v>
      </c>
      <c r="I133" t="s">
        <v>14</v>
      </c>
      <c r="J133" t="s">
        <v>15</v>
      </c>
    </row>
    <row r="134" spans="1:10" x14ac:dyDescent="0.25">
      <c r="A134" t="s">
        <v>10</v>
      </c>
      <c r="B134" t="s">
        <v>146</v>
      </c>
      <c r="C134" t="s">
        <v>12</v>
      </c>
      <c r="D134">
        <v>423955</v>
      </c>
      <c r="E134" t="str">
        <f>"0423955"</f>
        <v>0423955</v>
      </c>
      <c r="F134">
        <v>50</v>
      </c>
      <c r="G134" t="s">
        <v>13</v>
      </c>
      <c r="H134">
        <v>2020</v>
      </c>
      <c r="I134" t="s">
        <v>14</v>
      </c>
      <c r="J134" t="s">
        <v>15</v>
      </c>
    </row>
    <row r="135" spans="1:10" x14ac:dyDescent="0.25">
      <c r="A135" t="s">
        <v>10</v>
      </c>
      <c r="B135" t="s">
        <v>147</v>
      </c>
      <c r="C135" t="s">
        <v>12</v>
      </c>
      <c r="D135">
        <v>423960</v>
      </c>
      <c r="E135" t="str">
        <f>"0423960"</f>
        <v>0423960</v>
      </c>
      <c r="F135">
        <v>16989</v>
      </c>
      <c r="G135" t="s">
        <v>13</v>
      </c>
      <c r="H135">
        <v>2020</v>
      </c>
      <c r="I135" t="s">
        <v>14</v>
      </c>
      <c r="J135" t="s">
        <v>15</v>
      </c>
    </row>
    <row r="136" spans="1:10" x14ac:dyDescent="0.25">
      <c r="A136" t="s">
        <v>10</v>
      </c>
      <c r="B136" t="s">
        <v>148</v>
      </c>
      <c r="C136" t="s">
        <v>12</v>
      </c>
      <c r="D136">
        <v>424100</v>
      </c>
      <c r="E136" t="str">
        <f>"0424100"</f>
        <v>0424100</v>
      </c>
      <c r="F136">
        <v>217</v>
      </c>
      <c r="G136" t="s">
        <v>13</v>
      </c>
      <c r="H136">
        <v>2020</v>
      </c>
      <c r="I136" t="s">
        <v>14</v>
      </c>
      <c r="J136" t="s">
        <v>15</v>
      </c>
    </row>
    <row r="137" spans="1:10" x14ac:dyDescent="0.25">
      <c r="A137" t="s">
        <v>10</v>
      </c>
      <c r="B137" t="s">
        <v>149</v>
      </c>
      <c r="C137" t="s">
        <v>12</v>
      </c>
      <c r="D137">
        <v>424250</v>
      </c>
      <c r="E137" t="str">
        <f>"0424250"</f>
        <v>0424250</v>
      </c>
      <c r="F137">
        <v>239</v>
      </c>
      <c r="G137" t="s">
        <v>13</v>
      </c>
      <c r="H137">
        <v>2020</v>
      </c>
      <c r="I137" t="s">
        <v>14</v>
      </c>
      <c r="J137" t="s">
        <v>15</v>
      </c>
    </row>
    <row r="138" spans="1:10" x14ac:dyDescent="0.25">
      <c r="A138" t="s">
        <v>10</v>
      </c>
      <c r="B138" t="s">
        <v>150</v>
      </c>
      <c r="C138" t="s">
        <v>12</v>
      </c>
      <c r="D138">
        <v>424460</v>
      </c>
      <c r="E138" t="str">
        <f>"0424460"</f>
        <v>0424460</v>
      </c>
      <c r="F138">
        <v>3614</v>
      </c>
      <c r="G138" t="s">
        <v>13</v>
      </c>
      <c r="H138">
        <v>2020</v>
      </c>
      <c r="I138" t="s">
        <v>14</v>
      </c>
      <c r="J138" t="s">
        <v>15</v>
      </c>
    </row>
    <row r="139" spans="1:10" x14ac:dyDescent="0.25">
      <c r="A139" t="s">
        <v>10</v>
      </c>
      <c r="B139" t="s">
        <v>151</v>
      </c>
      <c r="C139" t="s">
        <v>12</v>
      </c>
      <c r="D139">
        <v>424895</v>
      </c>
      <c r="E139" t="str">
        <f>"0424895"</f>
        <v>0424895</v>
      </c>
      <c r="F139">
        <v>15716</v>
      </c>
      <c r="G139" t="s">
        <v>13</v>
      </c>
      <c r="H139">
        <v>2020</v>
      </c>
      <c r="I139" t="s">
        <v>14</v>
      </c>
      <c r="J139" t="s">
        <v>15</v>
      </c>
    </row>
    <row r="140" spans="1:10" x14ac:dyDescent="0.25">
      <c r="A140" t="s">
        <v>10</v>
      </c>
      <c r="B140" t="s">
        <v>152</v>
      </c>
      <c r="C140" t="s">
        <v>12</v>
      </c>
      <c r="D140">
        <v>424950</v>
      </c>
      <c r="E140" t="str">
        <f>"0424950"</f>
        <v>0424950</v>
      </c>
      <c r="F140">
        <v>319</v>
      </c>
      <c r="G140" t="s">
        <v>13</v>
      </c>
      <c r="H140">
        <v>2020</v>
      </c>
      <c r="I140" t="s">
        <v>14</v>
      </c>
      <c r="J140" t="s">
        <v>15</v>
      </c>
    </row>
    <row r="141" spans="1:10" x14ac:dyDescent="0.25">
      <c r="A141" t="s">
        <v>10</v>
      </c>
      <c r="B141" t="s">
        <v>153</v>
      </c>
      <c r="C141" t="s">
        <v>12</v>
      </c>
      <c r="D141">
        <v>425030</v>
      </c>
      <c r="E141" t="str">
        <f>"0425030"</f>
        <v>0425030</v>
      </c>
      <c r="F141">
        <v>28227</v>
      </c>
      <c r="G141" t="s">
        <v>13</v>
      </c>
      <c r="H141">
        <v>2020</v>
      </c>
      <c r="I141" t="s">
        <v>14</v>
      </c>
      <c r="J141" t="s">
        <v>15</v>
      </c>
    </row>
    <row r="142" spans="1:10" x14ac:dyDescent="0.25">
      <c r="A142" t="s">
        <v>10</v>
      </c>
      <c r="B142" t="s">
        <v>154</v>
      </c>
      <c r="C142" t="s">
        <v>12</v>
      </c>
      <c r="D142">
        <v>425045</v>
      </c>
      <c r="E142" t="str">
        <f>"0425045"</f>
        <v>0425045</v>
      </c>
      <c r="F142">
        <v>1803</v>
      </c>
      <c r="G142" t="s">
        <v>13</v>
      </c>
      <c r="H142">
        <v>2020</v>
      </c>
      <c r="I142" t="s">
        <v>14</v>
      </c>
      <c r="J142" t="s">
        <v>15</v>
      </c>
    </row>
    <row r="143" spans="1:10" x14ac:dyDescent="0.25">
      <c r="A143" t="s">
        <v>10</v>
      </c>
      <c r="B143" t="s">
        <v>155</v>
      </c>
      <c r="C143" t="s">
        <v>12</v>
      </c>
      <c r="D143">
        <v>425300</v>
      </c>
      <c r="E143" t="str">
        <f>"0425300"</f>
        <v>0425300</v>
      </c>
      <c r="F143">
        <v>23768</v>
      </c>
      <c r="G143" t="s">
        <v>13</v>
      </c>
      <c r="H143">
        <v>2020</v>
      </c>
      <c r="I143" t="s">
        <v>14</v>
      </c>
      <c r="J143" t="s">
        <v>15</v>
      </c>
    </row>
    <row r="144" spans="1:10" x14ac:dyDescent="0.25">
      <c r="A144" t="s">
        <v>10</v>
      </c>
      <c r="B144" t="s">
        <v>156</v>
      </c>
      <c r="C144" t="s">
        <v>12</v>
      </c>
      <c r="D144">
        <v>425650</v>
      </c>
      <c r="E144" t="str">
        <f>"0425650"</f>
        <v>0425650</v>
      </c>
      <c r="F144">
        <v>100</v>
      </c>
      <c r="G144" t="s">
        <v>13</v>
      </c>
      <c r="H144">
        <v>2020</v>
      </c>
      <c r="I144" t="s">
        <v>14</v>
      </c>
      <c r="J144" t="s">
        <v>15</v>
      </c>
    </row>
    <row r="145" spans="1:10" x14ac:dyDescent="0.25">
      <c r="A145" t="s">
        <v>10</v>
      </c>
      <c r="B145" t="s">
        <v>157</v>
      </c>
      <c r="C145" t="s">
        <v>12</v>
      </c>
      <c r="D145">
        <v>425720</v>
      </c>
      <c r="E145" t="str">
        <f>"0425720"</f>
        <v>0425720</v>
      </c>
      <c r="F145">
        <v>1084</v>
      </c>
      <c r="G145" t="s">
        <v>13</v>
      </c>
      <c r="H145">
        <v>2020</v>
      </c>
      <c r="I145" t="s">
        <v>14</v>
      </c>
      <c r="J145" t="s">
        <v>15</v>
      </c>
    </row>
    <row r="146" spans="1:10" x14ac:dyDescent="0.25">
      <c r="A146" t="s">
        <v>10</v>
      </c>
      <c r="B146" t="s">
        <v>158</v>
      </c>
      <c r="C146" t="s">
        <v>12</v>
      </c>
      <c r="D146">
        <v>425735</v>
      </c>
      <c r="E146" t="str">
        <f>"0425735"</f>
        <v>0425735</v>
      </c>
      <c r="F146">
        <v>144</v>
      </c>
      <c r="G146" t="s">
        <v>13</v>
      </c>
      <c r="H146">
        <v>2020</v>
      </c>
      <c r="I146" t="s">
        <v>14</v>
      </c>
      <c r="J146" t="s">
        <v>15</v>
      </c>
    </row>
    <row r="147" spans="1:10" x14ac:dyDescent="0.25">
      <c r="A147" t="s">
        <v>10</v>
      </c>
      <c r="B147" t="s">
        <v>159</v>
      </c>
      <c r="C147" t="s">
        <v>12</v>
      </c>
      <c r="D147">
        <v>426070</v>
      </c>
      <c r="E147" t="str">
        <f>"0426070"</f>
        <v>0426070</v>
      </c>
      <c r="F147">
        <v>696</v>
      </c>
      <c r="G147" t="s">
        <v>13</v>
      </c>
      <c r="H147">
        <v>2020</v>
      </c>
      <c r="I147" t="s">
        <v>14</v>
      </c>
      <c r="J147" t="s">
        <v>15</v>
      </c>
    </row>
    <row r="148" spans="1:10" x14ac:dyDescent="0.25">
      <c r="A148" t="s">
        <v>10</v>
      </c>
      <c r="B148" t="s">
        <v>160</v>
      </c>
      <c r="C148" t="s">
        <v>12</v>
      </c>
      <c r="D148">
        <v>426210</v>
      </c>
      <c r="E148" t="str">
        <f>"0426210"</f>
        <v>0426210</v>
      </c>
      <c r="F148">
        <v>615</v>
      </c>
      <c r="G148" t="s">
        <v>13</v>
      </c>
      <c r="H148">
        <v>2020</v>
      </c>
      <c r="I148" t="s">
        <v>14</v>
      </c>
      <c r="J148" t="s">
        <v>15</v>
      </c>
    </row>
    <row r="149" spans="1:10" x14ac:dyDescent="0.25">
      <c r="A149" t="s">
        <v>10</v>
      </c>
      <c r="B149" t="s">
        <v>161</v>
      </c>
      <c r="C149" t="s">
        <v>12</v>
      </c>
      <c r="D149">
        <v>426780</v>
      </c>
      <c r="E149" t="str">
        <f>"0426780"</f>
        <v>0426780</v>
      </c>
      <c r="F149">
        <v>19</v>
      </c>
      <c r="G149" t="s">
        <v>13</v>
      </c>
      <c r="H149">
        <v>2020</v>
      </c>
      <c r="I149" t="s">
        <v>14</v>
      </c>
      <c r="J149" t="s">
        <v>15</v>
      </c>
    </row>
    <row r="150" spans="1:10" x14ac:dyDescent="0.25">
      <c r="A150" t="s">
        <v>10</v>
      </c>
      <c r="B150" t="s">
        <v>162</v>
      </c>
      <c r="C150" t="s">
        <v>12</v>
      </c>
      <c r="D150">
        <v>427050</v>
      </c>
      <c r="E150" t="str">
        <f>"0427050"</f>
        <v>0427050</v>
      </c>
      <c r="F150">
        <v>1871</v>
      </c>
      <c r="G150" t="s">
        <v>13</v>
      </c>
      <c r="H150">
        <v>2020</v>
      </c>
      <c r="I150" t="s">
        <v>14</v>
      </c>
      <c r="J150" t="s">
        <v>15</v>
      </c>
    </row>
    <row r="151" spans="1:10" x14ac:dyDescent="0.25">
      <c r="A151" t="s">
        <v>10</v>
      </c>
      <c r="B151" t="s">
        <v>163</v>
      </c>
      <c r="C151" t="s">
        <v>12</v>
      </c>
      <c r="D151">
        <v>427260</v>
      </c>
      <c r="E151" t="str">
        <f>"0427260"</f>
        <v>0427260</v>
      </c>
      <c r="F151">
        <v>965</v>
      </c>
      <c r="G151" t="s">
        <v>13</v>
      </c>
      <c r="H151">
        <v>2020</v>
      </c>
      <c r="I151" t="s">
        <v>14</v>
      </c>
      <c r="J151" t="s">
        <v>15</v>
      </c>
    </row>
    <row r="152" spans="1:10" x14ac:dyDescent="0.25">
      <c r="A152" t="s">
        <v>10</v>
      </c>
      <c r="B152" t="s">
        <v>164</v>
      </c>
      <c r="C152" t="s">
        <v>12</v>
      </c>
      <c r="D152">
        <v>427400</v>
      </c>
      <c r="E152" t="str">
        <f>"0427400"</f>
        <v>0427400</v>
      </c>
      <c r="F152">
        <v>271118</v>
      </c>
      <c r="G152" t="s">
        <v>13</v>
      </c>
      <c r="H152">
        <v>2020</v>
      </c>
      <c r="I152" t="s">
        <v>14</v>
      </c>
      <c r="J152" t="s">
        <v>15</v>
      </c>
    </row>
    <row r="153" spans="1:10" x14ac:dyDescent="0.25">
      <c r="A153" t="s">
        <v>10</v>
      </c>
      <c r="B153" t="s">
        <v>165</v>
      </c>
      <c r="C153" t="s">
        <v>12</v>
      </c>
      <c r="D153">
        <v>427540</v>
      </c>
      <c r="E153" t="str">
        <f>"0427540"</f>
        <v>0427540</v>
      </c>
      <c r="F153">
        <v>781</v>
      </c>
      <c r="G153" t="s">
        <v>13</v>
      </c>
      <c r="H153">
        <v>2020</v>
      </c>
      <c r="I153" t="s">
        <v>14</v>
      </c>
      <c r="J153" t="s">
        <v>15</v>
      </c>
    </row>
    <row r="154" spans="1:10" x14ac:dyDescent="0.25">
      <c r="A154" t="s">
        <v>10</v>
      </c>
      <c r="B154" t="s">
        <v>166</v>
      </c>
      <c r="C154" t="s">
        <v>12</v>
      </c>
      <c r="D154">
        <v>427820</v>
      </c>
      <c r="E154" t="str">
        <f>"0427820"</f>
        <v>0427820</v>
      </c>
      <c r="F154">
        <v>250193</v>
      </c>
      <c r="G154" t="s">
        <v>13</v>
      </c>
      <c r="H154">
        <v>2020</v>
      </c>
      <c r="I154" t="s">
        <v>14</v>
      </c>
      <c r="J154" t="s">
        <v>15</v>
      </c>
    </row>
    <row r="155" spans="1:10" x14ac:dyDescent="0.25">
      <c r="A155" t="s">
        <v>10</v>
      </c>
      <c r="B155" t="s">
        <v>167</v>
      </c>
      <c r="C155" t="s">
        <v>12</v>
      </c>
      <c r="D155">
        <v>428030</v>
      </c>
      <c r="E155" t="str">
        <f>"0428030"</f>
        <v>0428030</v>
      </c>
      <c r="F155">
        <v>7230</v>
      </c>
      <c r="G155" t="s">
        <v>13</v>
      </c>
      <c r="H155">
        <v>2020</v>
      </c>
      <c r="I155" t="s">
        <v>14</v>
      </c>
      <c r="J155" t="s">
        <v>15</v>
      </c>
    </row>
    <row r="156" spans="1:10" x14ac:dyDescent="0.25">
      <c r="A156" t="s">
        <v>10</v>
      </c>
      <c r="B156" t="s">
        <v>168</v>
      </c>
      <c r="C156" t="s">
        <v>12</v>
      </c>
      <c r="D156">
        <v>428140</v>
      </c>
      <c r="E156" t="str">
        <f>"0428140"</f>
        <v>0428140</v>
      </c>
      <c r="F156">
        <v>12488</v>
      </c>
      <c r="G156" t="s">
        <v>13</v>
      </c>
      <c r="H156">
        <v>2020</v>
      </c>
      <c r="I156" t="s">
        <v>14</v>
      </c>
      <c r="J156" t="s">
        <v>15</v>
      </c>
    </row>
    <row r="157" spans="1:10" x14ac:dyDescent="0.25">
      <c r="A157" t="s">
        <v>10</v>
      </c>
      <c r="B157" t="s">
        <v>169</v>
      </c>
      <c r="C157" t="s">
        <v>12</v>
      </c>
      <c r="D157">
        <v>428190</v>
      </c>
      <c r="E157" t="str">
        <f>"0428190"</f>
        <v>0428190</v>
      </c>
      <c r="F157">
        <v>1319</v>
      </c>
      <c r="G157" t="s">
        <v>13</v>
      </c>
      <c r="H157">
        <v>2020</v>
      </c>
      <c r="I157" t="s">
        <v>14</v>
      </c>
      <c r="J157" t="s">
        <v>15</v>
      </c>
    </row>
    <row r="158" spans="1:10" x14ac:dyDescent="0.25">
      <c r="A158" t="s">
        <v>10</v>
      </c>
      <c r="B158" t="s">
        <v>170</v>
      </c>
      <c r="C158" t="s">
        <v>12</v>
      </c>
      <c r="D158">
        <v>428195</v>
      </c>
      <c r="E158" t="str">
        <f>"0428195"</f>
        <v>0428195</v>
      </c>
      <c r="F158">
        <v>7999</v>
      </c>
      <c r="G158" t="s">
        <v>13</v>
      </c>
      <c r="H158">
        <v>2020</v>
      </c>
      <c r="I158" t="s">
        <v>14</v>
      </c>
      <c r="J158" t="s">
        <v>15</v>
      </c>
    </row>
    <row r="159" spans="1:10" x14ac:dyDescent="0.25">
      <c r="A159" t="s">
        <v>10</v>
      </c>
      <c r="B159" t="s">
        <v>171</v>
      </c>
      <c r="C159" t="s">
        <v>12</v>
      </c>
      <c r="D159">
        <v>428380</v>
      </c>
      <c r="E159" t="str">
        <f>"0428380"</f>
        <v>0428380</v>
      </c>
      <c r="F159">
        <v>102891</v>
      </c>
      <c r="G159" t="s">
        <v>13</v>
      </c>
      <c r="H159">
        <v>2020</v>
      </c>
      <c r="I159" t="s">
        <v>14</v>
      </c>
      <c r="J159" t="s">
        <v>15</v>
      </c>
    </row>
    <row r="160" spans="1:10" x14ac:dyDescent="0.25">
      <c r="A160" t="s">
        <v>10</v>
      </c>
      <c r="B160" t="s">
        <v>172</v>
      </c>
      <c r="C160" t="s">
        <v>12</v>
      </c>
      <c r="D160">
        <v>428465</v>
      </c>
      <c r="E160" t="str">
        <f>"0428465"</f>
        <v>0428465</v>
      </c>
      <c r="F160">
        <v>564</v>
      </c>
      <c r="G160" t="s">
        <v>13</v>
      </c>
      <c r="H160">
        <v>2020</v>
      </c>
      <c r="I160" t="s">
        <v>14</v>
      </c>
      <c r="J160" t="s">
        <v>15</v>
      </c>
    </row>
    <row r="161" spans="1:10" x14ac:dyDescent="0.25">
      <c r="A161" t="s">
        <v>10</v>
      </c>
      <c r="B161" t="s">
        <v>173</v>
      </c>
      <c r="C161" t="s">
        <v>12</v>
      </c>
      <c r="D161">
        <v>428981</v>
      </c>
      <c r="E161" t="str">
        <f>"0428981"</f>
        <v>0428981</v>
      </c>
      <c r="F161">
        <v>1667</v>
      </c>
      <c r="G161" t="s">
        <v>13</v>
      </c>
      <c r="H161">
        <v>2020</v>
      </c>
      <c r="I161" t="s">
        <v>14</v>
      </c>
      <c r="J161" t="s">
        <v>15</v>
      </c>
    </row>
    <row r="162" spans="1:10" x14ac:dyDescent="0.25">
      <c r="A162" t="s">
        <v>10</v>
      </c>
      <c r="B162" t="s">
        <v>174</v>
      </c>
      <c r="C162" t="s">
        <v>12</v>
      </c>
      <c r="D162">
        <v>428985</v>
      </c>
      <c r="E162" t="str">
        <f>"0428985"</f>
        <v>0428985</v>
      </c>
      <c r="F162">
        <v>0</v>
      </c>
      <c r="G162" t="s">
        <v>13</v>
      </c>
      <c r="H162">
        <v>2020</v>
      </c>
      <c r="I162" t="s">
        <v>14</v>
      </c>
      <c r="J162" t="s">
        <v>15</v>
      </c>
    </row>
    <row r="163" spans="1:10" x14ac:dyDescent="0.25">
      <c r="A163" t="s">
        <v>10</v>
      </c>
      <c r="B163" t="s">
        <v>175</v>
      </c>
      <c r="C163" t="s">
        <v>12</v>
      </c>
      <c r="D163">
        <v>429430</v>
      </c>
      <c r="E163" t="str">
        <f>"0429430"</f>
        <v>0429430</v>
      </c>
      <c r="F163">
        <v>313</v>
      </c>
      <c r="G163" t="s">
        <v>13</v>
      </c>
      <c r="H163">
        <v>2020</v>
      </c>
      <c r="I163" t="s">
        <v>14</v>
      </c>
      <c r="J163" t="s">
        <v>15</v>
      </c>
    </row>
    <row r="164" spans="1:10" x14ac:dyDescent="0.25">
      <c r="A164" t="s">
        <v>10</v>
      </c>
      <c r="B164" t="s">
        <v>176</v>
      </c>
      <c r="C164" t="s">
        <v>12</v>
      </c>
      <c r="D164">
        <v>429603</v>
      </c>
      <c r="E164" t="str">
        <f>"0429603"</f>
        <v>0429603</v>
      </c>
      <c r="F164">
        <v>339</v>
      </c>
      <c r="G164" t="s">
        <v>13</v>
      </c>
      <c r="H164">
        <v>2020</v>
      </c>
      <c r="I164" t="s">
        <v>14</v>
      </c>
      <c r="J164" t="s">
        <v>15</v>
      </c>
    </row>
    <row r="165" spans="1:10" x14ac:dyDescent="0.25">
      <c r="A165" t="s">
        <v>10</v>
      </c>
      <c r="B165" t="s">
        <v>177</v>
      </c>
      <c r="C165" t="s">
        <v>12</v>
      </c>
      <c r="D165">
        <v>429710</v>
      </c>
      <c r="E165" t="str">
        <f>"0429710"</f>
        <v>0429710</v>
      </c>
      <c r="F165">
        <v>21581</v>
      </c>
      <c r="G165" t="s">
        <v>13</v>
      </c>
      <c r="H165">
        <v>2020</v>
      </c>
      <c r="I165" t="s">
        <v>14</v>
      </c>
      <c r="J165" t="s">
        <v>15</v>
      </c>
    </row>
    <row r="166" spans="1:10" x14ac:dyDescent="0.25">
      <c r="A166" t="s">
        <v>10</v>
      </c>
      <c r="B166" t="s">
        <v>178</v>
      </c>
      <c r="C166" t="s">
        <v>12</v>
      </c>
      <c r="D166">
        <v>429850</v>
      </c>
      <c r="E166" t="str">
        <f>"0429850"</f>
        <v>0429850</v>
      </c>
      <c r="F166">
        <v>0</v>
      </c>
      <c r="G166" t="s">
        <v>13</v>
      </c>
      <c r="H166">
        <v>2020</v>
      </c>
      <c r="I166" t="s">
        <v>14</v>
      </c>
      <c r="J166" t="s">
        <v>15</v>
      </c>
    </row>
    <row r="167" spans="1:10" x14ac:dyDescent="0.25">
      <c r="A167" t="s">
        <v>10</v>
      </c>
      <c r="B167" t="s">
        <v>179</v>
      </c>
      <c r="C167" t="s">
        <v>12</v>
      </c>
      <c r="D167">
        <v>430270</v>
      </c>
      <c r="E167" t="str">
        <f>"0430270"</f>
        <v>0430270</v>
      </c>
      <c r="F167">
        <v>5293</v>
      </c>
      <c r="G167" t="s">
        <v>13</v>
      </c>
      <c r="H167">
        <v>2020</v>
      </c>
      <c r="I167" t="s">
        <v>14</v>
      </c>
      <c r="J167" t="s">
        <v>15</v>
      </c>
    </row>
    <row r="168" spans="1:10" x14ac:dyDescent="0.25">
      <c r="A168" t="s">
        <v>10</v>
      </c>
      <c r="B168" t="s">
        <v>180</v>
      </c>
      <c r="C168" t="s">
        <v>12</v>
      </c>
      <c r="D168">
        <v>430550</v>
      </c>
      <c r="E168" t="str">
        <f>"0430550"</f>
        <v>0430550</v>
      </c>
      <c r="F168">
        <v>201</v>
      </c>
      <c r="G168" t="s">
        <v>13</v>
      </c>
      <c r="H168">
        <v>2020</v>
      </c>
      <c r="I168" t="s">
        <v>14</v>
      </c>
      <c r="J168" t="s">
        <v>15</v>
      </c>
    </row>
    <row r="169" spans="1:10" x14ac:dyDescent="0.25">
      <c r="A169" t="s">
        <v>10</v>
      </c>
      <c r="B169" t="s">
        <v>181</v>
      </c>
      <c r="C169" t="s">
        <v>12</v>
      </c>
      <c r="D169">
        <v>430830</v>
      </c>
      <c r="E169" t="str">
        <f>"0430830"</f>
        <v>0430830</v>
      </c>
      <c r="F169">
        <v>334</v>
      </c>
      <c r="G169" t="s">
        <v>13</v>
      </c>
      <c r="H169">
        <v>2020</v>
      </c>
      <c r="I169" t="s">
        <v>14</v>
      </c>
      <c r="J169" t="s">
        <v>15</v>
      </c>
    </row>
    <row r="170" spans="1:10" x14ac:dyDescent="0.25">
      <c r="A170" t="s">
        <v>10</v>
      </c>
      <c r="B170" t="s">
        <v>182</v>
      </c>
      <c r="C170" t="s">
        <v>12</v>
      </c>
      <c r="D170">
        <v>430840</v>
      </c>
      <c r="E170" t="str">
        <f>"0430840"</f>
        <v>0430840</v>
      </c>
      <c r="F170">
        <v>29</v>
      </c>
      <c r="G170" t="s">
        <v>13</v>
      </c>
      <c r="H170">
        <v>2020</v>
      </c>
      <c r="I170" t="s">
        <v>14</v>
      </c>
      <c r="J170" t="s">
        <v>15</v>
      </c>
    </row>
    <row r="171" spans="1:10" x14ac:dyDescent="0.25">
      <c r="A171" t="s">
        <v>10</v>
      </c>
      <c r="B171" t="s">
        <v>183</v>
      </c>
      <c r="C171" t="s">
        <v>12</v>
      </c>
      <c r="D171">
        <v>430850</v>
      </c>
      <c r="E171" t="str">
        <f>"0430850"</f>
        <v>0430850</v>
      </c>
      <c r="F171">
        <v>94</v>
      </c>
      <c r="G171" t="s">
        <v>13</v>
      </c>
      <c r="H171">
        <v>2020</v>
      </c>
      <c r="I171" t="s">
        <v>14</v>
      </c>
      <c r="J171" t="s">
        <v>15</v>
      </c>
    </row>
    <row r="172" spans="1:10" x14ac:dyDescent="0.25">
      <c r="A172" t="s">
        <v>10</v>
      </c>
      <c r="B172" t="s">
        <v>184</v>
      </c>
      <c r="C172" t="s">
        <v>12</v>
      </c>
      <c r="D172">
        <v>431182</v>
      </c>
      <c r="E172" t="str">
        <f>"0431182"</f>
        <v>0431182</v>
      </c>
      <c r="F172">
        <v>111</v>
      </c>
      <c r="G172" t="s">
        <v>13</v>
      </c>
      <c r="H172">
        <v>2020</v>
      </c>
      <c r="I172" t="s">
        <v>14</v>
      </c>
      <c r="J172" t="s">
        <v>15</v>
      </c>
    </row>
    <row r="173" spans="1:10" x14ac:dyDescent="0.25">
      <c r="A173" t="s">
        <v>10</v>
      </c>
      <c r="B173" t="s">
        <v>185</v>
      </c>
      <c r="C173" t="s">
        <v>12</v>
      </c>
      <c r="D173">
        <v>432020</v>
      </c>
      <c r="E173" t="str">
        <f>"0432020"</f>
        <v>0432020</v>
      </c>
      <c r="F173">
        <v>412</v>
      </c>
      <c r="G173" t="s">
        <v>13</v>
      </c>
      <c r="H173">
        <v>2020</v>
      </c>
      <c r="I173" t="s">
        <v>14</v>
      </c>
      <c r="J173" t="s">
        <v>15</v>
      </c>
    </row>
    <row r="174" spans="1:10" x14ac:dyDescent="0.25">
      <c r="A174" t="s">
        <v>10</v>
      </c>
      <c r="B174" t="s">
        <v>186</v>
      </c>
      <c r="C174" t="s">
        <v>12</v>
      </c>
      <c r="D174">
        <v>432310</v>
      </c>
      <c r="E174" t="str">
        <f>"0432310"</f>
        <v>0432310</v>
      </c>
      <c r="F174">
        <v>3216</v>
      </c>
      <c r="G174" t="s">
        <v>13</v>
      </c>
      <c r="H174">
        <v>2020</v>
      </c>
      <c r="I174" t="s">
        <v>14</v>
      </c>
      <c r="J174" t="s">
        <v>15</v>
      </c>
    </row>
    <row r="175" spans="1:10" x14ac:dyDescent="0.25">
      <c r="A175" t="s">
        <v>10</v>
      </c>
      <c r="B175" t="s">
        <v>187</v>
      </c>
      <c r="C175" t="s">
        <v>12</v>
      </c>
      <c r="D175">
        <v>433280</v>
      </c>
      <c r="E175" t="str">
        <f>"0433280"</f>
        <v>0433280</v>
      </c>
      <c r="F175">
        <v>4834</v>
      </c>
      <c r="G175" t="s">
        <v>13</v>
      </c>
      <c r="H175">
        <v>2020</v>
      </c>
      <c r="I175" t="s">
        <v>14</v>
      </c>
      <c r="J175" t="s">
        <v>15</v>
      </c>
    </row>
    <row r="176" spans="1:10" x14ac:dyDescent="0.25">
      <c r="A176" t="s">
        <v>10</v>
      </c>
      <c r="B176" t="s">
        <v>188</v>
      </c>
      <c r="C176" t="s">
        <v>12</v>
      </c>
      <c r="D176">
        <v>433440</v>
      </c>
      <c r="E176" t="str">
        <f>"0433440"</f>
        <v>0433440</v>
      </c>
      <c r="F176">
        <v>860</v>
      </c>
      <c r="G176" t="s">
        <v>13</v>
      </c>
      <c r="H176">
        <v>2020</v>
      </c>
      <c r="I176" t="s">
        <v>14</v>
      </c>
      <c r="J176" t="s">
        <v>15</v>
      </c>
    </row>
    <row r="177" spans="1:10" x14ac:dyDescent="0.25">
      <c r="A177" t="s">
        <v>10</v>
      </c>
      <c r="B177" t="s">
        <v>189</v>
      </c>
      <c r="C177" t="s">
        <v>12</v>
      </c>
      <c r="D177">
        <v>433945</v>
      </c>
      <c r="E177" t="str">
        <f>"0433945"</f>
        <v>0433945</v>
      </c>
      <c r="F177">
        <v>696</v>
      </c>
      <c r="G177" t="s">
        <v>13</v>
      </c>
      <c r="H177">
        <v>2020</v>
      </c>
      <c r="I177" t="s">
        <v>14</v>
      </c>
      <c r="J177" t="s">
        <v>15</v>
      </c>
    </row>
    <row r="178" spans="1:10" x14ac:dyDescent="0.25">
      <c r="A178" t="s">
        <v>10</v>
      </c>
      <c r="B178" t="s">
        <v>190</v>
      </c>
      <c r="C178" t="s">
        <v>12</v>
      </c>
      <c r="D178">
        <v>433980</v>
      </c>
      <c r="E178" t="str">
        <f>"0433980"</f>
        <v>0433980</v>
      </c>
      <c r="F178">
        <v>809</v>
      </c>
      <c r="G178" t="s">
        <v>13</v>
      </c>
      <c r="H178">
        <v>2020</v>
      </c>
      <c r="I178" t="s">
        <v>14</v>
      </c>
      <c r="J178" t="s">
        <v>15</v>
      </c>
    </row>
    <row r="179" spans="1:10" x14ac:dyDescent="0.25">
      <c r="A179" t="s">
        <v>10</v>
      </c>
      <c r="B179" t="s">
        <v>191</v>
      </c>
      <c r="C179" t="s">
        <v>12</v>
      </c>
      <c r="D179">
        <v>434120</v>
      </c>
      <c r="E179" t="str">
        <f>"0434120"</f>
        <v>0434120</v>
      </c>
      <c r="F179">
        <v>1808</v>
      </c>
      <c r="G179" t="s">
        <v>13</v>
      </c>
      <c r="H179">
        <v>2020</v>
      </c>
      <c r="I179" t="s">
        <v>14</v>
      </c>
      <c r="J179" t="s">
        <v>15</v>
      </c>
    </row>
    <row r="180" spans="1:10" x14ac:dyDescent="0.25">
      <c r="A180" t="s">
        <v>10</v>
      </c>
      <c r="B180" t="s">
        <v>192</v>
      </c>
      <c r="C180" t="s">
        <v>12</v>
      </c>
      <c r="D180">
        <v>434700</v>
      </c>
      <c r="E180" t="str">
        <f>"0434700"</f>
        <v>0434700</v>
      </c>
      <c r="F180">
        <v>23</v>
      </c>
      <c r="G180" t="s">
        <v>13</v>
      </c>
      <c r="H180">
        <v>2020</v>
      </c>
      <c r="I180" t="s">
        <v>14</v>
      </c>
      <c r="J180" t="s">
        <v>15</v>
      </c>
    </row>
    <row r="181" spans="1:10" x14ac:dyDescent="0.25">
      <c r="A181" t="s">
        <v>10</v>
      </c>
      <c r="B181" t="s">
        <v>193</v>
      </c>
      <c r="C181" t="s">
        <v>12</v>
      </c>
      <c r="D181">
        <v>434980</v>
      </c>
      <c r="E181" t="str">
        <f>"0434980"</f>
        <v>0434980</v>
      </c>
      <c r="F181">
        <v>473</v>
      </c>
      <c r="G181" t="s">
        <v>13</v>
      </c>
      <c r="H181">
        <v>2020</v>
      </c>
      <c r="I181" t="s">
        <v>14</v>
      </c>
      <c r="J181" t="s">
        <v>15</v>
      </c>
    </row>
    <row r="182" spans="1:10" x14ac:dyDescent="0.25">
      <c r="A182" t="s">
        <v>10</v>
      </c>
      <c r="B182" t="s">
        <v>194</v>
      </c>
      <c r="C182" t="s">
        <v>12</v>
      </c>
      <c r="D182">
        <v>435310</v>
      </c>
      <c r="E182" t="str">
        <f>"0435310"</f>
        <v>0435310</v>
      </c>
      <c r="F182">
        <v>325</v>
      </c>
      <c r="G182" t="s">
        <v>13</v>
      </c>
      <c r="H182">
        <v>2020</v>
      </c>
      <c r="I182" t="s">
        <v>14</v>
      </c>
      <c r="J182" t="s">
        <v>15</v>
      </c>
    </row>
    <row r="183" spans="1:10" x14ac:dyDescent="0.25">
      <c r="A183" t="s">
        <v>10</v>
      </c>
      <c r="B183" t="s">
        <v>195</v>
      </c>
      <c r="C183" t="s">
        <v>12</v>
      </c>
      <c r="D183">
        <v>436010</v>
      </c>
      <c r="E183" t="str">
        <f>"0436010"</f>
        <v>0436010</v>
      </c>
      <c r="F183">
        <v>189</v>
      </c>
      <c r="G183" t="s">
        <v>13</v>
      </c>
      <c r="H183">
        <v>2020</v>
      </c>
      <c r="I183" t="s">
        <v>14</v>
      </c>
      <c r="J183" t="s">
        <v>15</v>
      </c>
    </row>
    <row r="184" spans="1:10" x14ac:dyDescent="0.25">
      <c r="A184" t="s">
        <v>10</v>
      </c>
      <c r="B184" t="s">
        <v>196</v>
      </c>
      <c r="C184" t="s">
        <v>12</v>
      </c>
      <c r="D184">
        <v>436150</v>
      </c>
      <c r="E184" t="str">
        <f>"0436150"</f>
        <v>0436150</v>
      </c>
      <c r="F184">
        <v>246</v>
      </c>
      <c r="G184" t="s">
        <v>13</v>
      </c>
      <c r="H184">
        <v>2020</v>
      </c>
      <c r="I184" t="s">
        <v>14</v>
      </c>
      <c r="J184" t="s">
        <v>15</v>
      </c>
    </row>
    <row r="185" spans="1:10" x14ac:dyDescent="0.25">
      <c r="A185" t="s">
        <v>10</v>
      </c>
      <c r="B185" t="s">
        <v>197</v>
      </c>
      <c r="C185" t="s">
        <v>12</v>
      </c>
      <c r="D185">
        <v>436290</v>
      </c>
      <c r="E185" t="str">
        <f>"0436290"</f>
        <v>0436290</v>
      </c>
      <c r="F185">
        <v>329</v>
      </c>
      <c r="G185" t="s">
        <v>13</v>
      </c>
      <c r="H185">
        <v>2020</v>
      </c>
      <c r="I185" t="s">
        <v>14</v>
      </c>
      <c r="J185" t="s">
        <v>15</v>
      </c>
    </row>
    <row r="186" spans="1:10" x14ac:dyDescent="0.25">
      <c r="A186" t="s">
        <v>10</v>
      </c>
      <c r="B186" t="s">
        <v>198</v>
      </c>
      <c r="C186" t="s">
        <v>12</v>
      </c>
      <c r="D186">
        <v>436430</v>
      </c>
      <c r="E186" t="str">
        <f>"0436430"</f>
        <v>0436430</v>
      </c>
      <c r="F186">
        <v>1995</v>
      </c>
      <c r="G186" t="s">
        <v>13</v>
      </c>
      <c r="H186">
        <v>2020</v>
      </c>
      <c r="I186" t="s">
        <v>14</v>
      </c>
      <c r="J186" t="s">
        <v>15</v>
      </c>
    </row>
    <row r="187" spans="1:10" x14ac:dyDescent="0.25">
      <c r="A187" t="s">
        <v>10</v>
      </c>
      <c r="B187" t="s">
        <v>199</v>
      </c>
      <c r="C187" t="s">
        <v>12</v>
      </c>
      <c r="D187">
        <v>436440</v>
      </c>
      <c r="E187" t="str">
        <f>"0436440"</f>
        <v>0436440</v>
      </c>
      <c r="F187">
        <v>529</v>
      </c>
      <c r="G187" t="s">
        <v>13</v>
      </c>
      <c r="H187">
        <v>2020</v>
      </c>
      <c r="I187" t="s">
        <v>14</v>
      </c>
      <c r="J187" t="s">
        <v>15</v>
      </c>
    </row>
    <row r="188" spans="1:10" x14ac:dyDescent="0.25">
      <c r="A188" t="s">
        <v>10</v>
      </c>
      <c r="B188" t="s">
        <v>200</v>
      </c>
      <c r="C188" t="s">
        <v>12</v>
      </c>
      <c r="D188">
        <v>436475</v>
      </c>
      <c r="E188" t="str">
        <f>"0436475"</f>
        <v>0436475</v>
      </c>
      <c r="F188">
        <v>3212</v>
      </c>
      <c r="G188" t="s">
        <v>13</v>
      </c>
      <c r="H188">
        <v>2020</v>
      </c>
      <c r="I188" t="s">
        <v>14</v>
      </c>
      <c r="J188" t="s">
        <v>15</v>
      </c>
    </row>
    <row r="189" spans="1:10" x14ac:dyDescent="0.25">
      <c r="A189" t="s">
        <v>10</v>
      </c>
      <c r="B189" t="s">
        <v>201</v>
      </c>
      <c r="C189" t="s">
        <v>12</v>
      </c>
      <c r="D189">
        <v>436500</v>
      </c>
      <c r="E189" t="str">
        <f>"0436500"</f>
        <v>0436500</v>
      </c>
      <c r="F189">
        <v>113</v>
      </c>
      <c r="G189" t="s">
        <v>13</v>
      </c>
      <c r="H189">
        <v>2020</v>
      </c>
      <c r="I189" t="s">
        <v>14</v>
      </c>
      <c r="J189" t="s">
        <v>15</v>
      </c>
    </row>
    <row r="190" spans="1:10" x14ac:dyDescent="0.25">
      <c r="A190" t="s">
        <v>10</v>
      </c>
      <c r="B190" t="s">
        <v>202</v>
      </c>
      <c r="C190" t="s">
        <v>12</v>
      </c>
      <c r="D190">
        <v>436535</v>
      </c>
      <c r="E190" t="str">
        <f>"0436535"</f>
        <v>0436535</v>
      </c>
      <c r="F190">
        <v>1406</v>
      </c>
      <c r="G190" t="s">
        <v>13</v>
      </c>
      <c r="H190">
        <v>2020</v>
      </c>
      <c r="I190" t="s">
        <v>14</v>
      </c>
      <c r="J190" t="s">
        <v>15</v>
      </c>
    </row>
    <row r="191" spans="1:10" x14ac:dyDescent="0.25">
      <c r="A191" t="s">
        <v>10</v>
      </c>
      <c r="B191" t="s">
        <v>203</v>
      </c>
      <c r="C191" t="s">
        <v>12</v>
      </c>
      <c r="D191">
        <v>436640</v>
      </c>
      <c r="E191" t="str">
        <f>"0436640"</f>
        <v>0436640</v>
      </c>
      <c r="F191">
        <v>1679</v>
      </c>
      <c r="G191" t="s">
        <v>13</v>
      </c>
      <c r="H191">
        <v>2020</v>
      </c>
      <c r="I191" t="s">
        <v>14</v>
      </c>
      <c r="J191" t="s">
        <v>15</v>
      </c>
    </row>
    <row r="192" spans="1:10" x14ac:dyDescent="0.25">
      <c r="A192" t="s">
        <v>10</v>
      </c>
      <c r="B192" t="s">
        <v>204</v>
      </c>
      <c r="C192" t="s">
        <v>12</v>
      </c>
      <c r="D192">
        <v>436780</v>
      </c>
      <c r="E192" t="str">
        <f>"0436780"</f>
        <v>0436780</v>
      </c>
      <c r="F192">
        <v>0</v>
      </c>
      <c r="G192" t="s">
        <v>13</v>
      </c>
      <c r="H192">
        <v>2020</v>
      </c>
      <c r="I192" t="s">
        <v>14</v>
      </c>
      <c r="J192" t="s">
        <v>15</v>
      </c>
    </row>
    <row r="193" spans="1:10" x14ac:dyDescent="0.25">
      <c r="A193" t="s">
        <v>10</v>
      </c>
      <c r="B193" t="s">
        <v>205</v>
      </c>
      <c r="C193" t="s">
        <v>12</v>
      </c>
      <c r="D193">
        <v>436920</v>
      </c>
      <c r="E193" t="str">
        <f>"0436920"</f>
        <v>0436920</v>
      </c>
      <c r="F193">
        <v>191</v>
      </c>
      <c r="G193" t="s">
        <v>13</v>
      </c>
      <c r="H193">
        <v>2020</v>
      </c>
      <c r="I193" t="s">
        <v>14</v>
      </c>
      <c r="J193" t="s">
        <v>15</v>
      </c>
    </row>
    <row r="194" spans="1:10" x14ac:dyDescent="0.25">
      <c r="A194" t="s">
        <v>10</v>
      </c>
      <c r="B194" t="s">
        <v>206</v>
      </c>
      <c r="C194" t="s">
        <v>12</v>
      </c>
      <c r="D194">
        <v>436990</v>
      </c>
      <c r="E194" t="str">
        <f>"0436990"</f>
        <v>0436990</v>
      </c>
      <c r="F194">
        <v>5651</v>
      </c>
      <c r="G194" t="s">
        <v>13</v>
      </c>
      <c r="H194">
        <v>2020</v>
      </c>
      <c r="I194" t="s">
        <v>14</v>
      </c>
      <c r="J194" t="s">
        <v>15</v>
      </c>
    </row>
    <row r="195" spans="1:10" x14ac:dyDescent="0.25">
      <c r="A195" t="s">
        <v>10</v>
      </c>
      <c r="B195" t="s">
        <v>207</v>
      </c>
      <c r="C195" t="s">
        <v>12</v>
      </c>
      <c r="D195">
        <v>437130</v>
      </c>
      <c r="E195" t="str">
        <f>"0437130"</f>
        <v>0437130</v>
      </c>
      <c r="F195">
        <v>460</v>
      </c>
      <c r="G195" t="s">
        <v>13</v>
      </c>
      <c r="H195">
        <v>2020</v>
      </c>
      <c r="I195" t="s">
        <v>14</v>
      </c>
      <c r="J195" t="s">
        <v>15</v>
      </c>
    </row>
    <row r="196" spans="1:10" x14ac:dyDescent="0.25">
      <c r="A196" t="s">
        <v>10</v>
      </c>
      <c r="B196" t="s">
        <v>208</v>
      </c>
      <c r="C196" t="s">
        <v>12</v>
      </c>
      <c r="D196">
        <v>437200</v>
      </c>
      <c r="E196" t="str">
        <f>"0437200"</f>
        <v>0437200</v>
      </c>
      <c r="F196">
        <v>2245</v>
      </c>
      <c r="G196" t="s">
        <v>13</v>
      </c>
      <c r="H196">
        <v>2020</v>
      </c>
      <c r="I196" t="s">
        <v>14</v>
      </c>
      <c r="J196" t="s">
        <v>15</v>
      </c>
    </row>
    <row r="197" spans="1:10" x14ac:dyDescent="0.25">
      <c r="A197" t="s">
        <v>10</v>
      </c>
      <c r="B197" t="s">
        <v>209</v>
      </c>
      <c r="C197" t="s">
        <v>12</v>
      </c>
      <c r="D197">
        <v>437620</v>
      </c>
      <c r="E197" t="str">
        <f>"0437620"</f>
        <v>0437620</v>
      </c>
      <c r="F197">
        <v>33850</v>
      </c>
      <c r="G197" t="s">
        <v>13</v>
      </c>
      <c r="H197">
        <v>2020</v>
      </c>
      <c r="I197" t="s">
        <v>14</v>
      </c>
      <c r="J197" t="s">
        <v>15</v>
      </c>
    </row>
    <row r="198" spans="1:10" x14ac:dyDescent="0.25">
      <c r="A198" t="s">
        <v>10</v>
      </c>
      <c r="B198" t="s">
        <v>210</v>
      </c>
      <c r="C198" t="s">
        <v>12</v>
      </c>
      <c r="D198">
        <v>437935</v>
      </c>
      <c r="E198" t="str">
        <f>"0437935"</f>
        <v>0437935</v>
      </c>
      <c r="F198">
        <v>143</v>
      </c>
      <c r="G198" t="s">
        <v>13</v>
      </c>
      <c r="H198">
        <v>2020</v>
      </c>
      <c r="I198" t="s">
        <v>14</v>
      </c>
      <c r="J198" t="s">
        <v>15</v>
      </c>
    </row>
    <row r="199" spans="1:10" x14ac:dyDescent="0.25">
      <c r="A199" t="s">
        <v>10</v>
      </c>
      <c r="B199" t="s">
        <v>211</v>
      </c>
      <c r="C199" t="s">
        <v>12</v>
      </c>
      <c r="D199">
        <v>438250</v>
      </c>
      <c r="E199" t="str">
        <f>"0438250"</f>
        <v>0438250</v>
      </c>
      <c r="F199">
        <v>166</v>
      </c>
      <c r="G199" t="s">
        <v>13</v>
      </c>
      <c r="H199">
        <v>2020</v>
      </c>
      <c r="I199" t="s">
        <v>14</v>
      </c>
      <c r="J199" t="s">
        <v>15</v>
      </c>
    </row>
    <row r="200" spans="1:10" x14ac:dyDescent="0.25">
      <c r="A200" t="s">
        <v>10</v>
      </c>
      <c r="B200" t="s">
        <v>212</v>
      </c>
      <c r="C200" t="s">
        <v>12</v>
      </c>
      <c r="D200">
        <v>438290</v>
      </c>
      <c r="E200" t="str">
        <f>"0438290"</f>
        <v>0438290</v>
      </c>
      <c r="F200">
        <v>63</v>
      </c>
      <c r="G200" t="s">
        <v>13</v>
      </c>
      <c r="H200">
        <v>2020</v>
      </c>
      <c r="I200" t="s">
        <v>14</v>
      </c>
      <c r="J200" t="s">
        <v>15</v>
      </c>
    </row>
    <row r="201" spans="1:10" x14ac:dyDescent="0.25">
      <c r="A201" t="s">
        <v>10</v>
      </c>
      <c r="B201" t="s">
        <v>213</v>
      </c>
      <c r="C201" t="s">
        <v>12</v>
      </c>
      <c r="D201">
        <v>438530</v>
      </c>
      <c r="E201" t="str">
        <f>"0438530"</f>
        <v>0438530</v>
      </c>
      <c r="F201">
        <v>0</v>
      </c>
      <c r="G201" t="s">
        <v>13</v>
      </c>
      <c r="H201">
        <v>2020</v>
      </c>
      <c r="I201" t="s">
        <v>14</v>
      </c>
      <c r="J201" t="s">
        <v>15</v>
      </c>
    </row>
    <row r="202" spans="1:10" x14ac:dyDescent="0.25">
      <c r="A202" t="s">
        <v>10</v>
      </c>
      <c r="B202" t="s">
        <v>214</v>
      </c>
      <c r="C202" t="s">
        <v>12</v>
      </c>
      <c r="D202">
        <v>438600</v>
      </c>
      <c r="E202" t="str">
        <f>"0438600"</f>
        <v>0438600</v>
      </c>
      <c r="F202">
        <v>74</v>
      </c>
      <c r="G202" t="s">
        <v>13</v>
      </c>
      <c r="H202">
        <v>2020</v>
      </c>
      <c r="I202" t="s">
        <v>14</v>
      </c>
      <c r="J202" t="s">
        <v>15</v>
      </c>
    </row>
    <row r="203" spans="1:10" x14ac:dyDescent="0.25">
      <c r="A203" t="s">
        <v>10</v>
      </c>
      <c r="B203" t="s">
        <v>215</v>
      </c>
      <c r="C203" t="s">
        <v>12</v>
      </c>
      <c r="D203">
        <v>438655</v>
      </c>
      <c r="E203" t="str">
        <f>"0438655"</f>
        <v>0438655</v>
      </c>
      <c r="F203">
        <v>824</v>
      </c>
      <c r="G203" t="s">
        <v>13</v>
      </c>
      <c r="H203">
        <v>2020</v>
      </c>
      <c r="I203" t="s">
        <v>14</v>
      </c>
      <c r="J203" t="s">
        <v>15</v>
      </c>
    </row>
    <row r="204" spans="1:10" x14ac:dyDescent="0.25">
      <c r="A204" t="s">
        <v>10</v>
      </c>
      <c r="B204" t="s">
        <v>216</v>
      </c>
      <c r="C204" t="s">
        <v>12</v>
      </c>
      <c r="D204">
        <v>438950</v>
      </c>
      <c r="E204" t="str">
        <f>"0438950"</f>
        <v>0438950</v>
      </c>
      <c r="F204">
        <v>48</v>
      </c>
      <c r="G204" t="s">
        <v>13</v>
      </c>
      <c r="H204">
        <v>2020</v>
      </c>
      <c r="I204" t="s">
        <v>14</v>
      </c>
      <c r="J204" t="s">
        <v>15</v>
      </c>
    </row>
    <row r="205" spans="1:10" x14ac:dyDescent="0.25">
      <c r="A205" t="s">
        <v>10</v>
      </c>
      <c r="B205" t="s">
        <v>217</v>
      </c>
      <c r="C205" t="s">
        <v>12</v>
      </c>
      <c r="D205">
        <v>439100</v>
      </c>
      <c r="E205" t="str">
        <f>"0439100"</f>
        <v>0439100</v>
      </c>
      <c r="F205">
        <v>758</v>
      </c>
      <c r="G205" t="s">
        <v>13</v>
      </c>
      <c r="H205">
        <v>2020</v>
      </c>
      <c r="I205" t="s">
        <v>14</v>
      </c>
      <c r="J205" t="s">
        <v>15</v>
      </c>
    </row>
    <row r="206" spans="1:10" x14ac:dyDescent="0.25">
      <c r="A206" t="s">
        <v>10</v>
      </c>
      <c r="B206" t="s">
        <v>218</v>
      </c>
      <c r="C206" t="s">
        <v>12</v>
      </c>
      <c r="D206">
        <v>439370</v>
      </c>
      <c r="E206" t="str">
        <f>"0439370"</f>
        <v>0439370</v>
      </c>
      <c r="F206">
        <v>58037</v>
      </c>
      <c r="G206" t="s">
        <v>13</v>
      </c>
      <c r="H206">
        <v>2020</v>
      </c>
      <c r="I206" t="s">
        <v>14</v>
      </c>
      <c r="J206" t="s">
        <v>15</v>
      </c>
    </row>
    <row r="207" spans="1:10" x14ac:dyDescent="0.25">
      <c r="A207" t="s">
        <v>10</v>
      </c>
      <c r="B207" t="s">
        <v>219</v>
      </c>
      <c r="C207" t="s">
        <v>12</v>
      </c>
      <c r="D207">
        <v>439720</v>
      </c>
      <c r="E207" t="str">
        <f>"0439720"</f>
        <v>0439720</v>
      </c>
      <c r="F207">
        <v>4615</v>
      </c>
      <c r="G207" t="s">
        <v>13</v>
      </c>
      <c r="H207">
        <v>2020</v>
      </c>
      <c r="I207" t="s">
        <v>14</v>
      </c>
      <c r="J207" t="s">
        <v>15</v>
      </c>
    </row>
    <row r="208" spans="1:10" x14ac:dyDescent="0.25">
      <c r="A208" t="s">
        <v>10</v>
      </c>
      <c r="B208" t="s">
        <v>220</v>
      </c>
      <c r="C208" t="s">
        <v>12</v>
      </c>
      <c r="D208">
        <v>439790</v>
      </c>
      <c r="E208" t="str">
        <f>"0439790"</f>
        <v>0439790</v>
      </c>
      <c r="F208">
        <v>3227</v>
      </c>
      <c r="G208" t="s">
        <v>13</v>
      </c>
      <c r="H208">
        <v>2020</v>
      </c>
      <c r="I208" t="s">
        <v>14</v>
      </c>
      <c r="J208" t="s">
        <v>15</v>
      </c>
    </row>
    <row r="209" spans="1:10" x14ac:dyDescent="0.25">
      <c r="A209" t="s">
        <v>10</v>
      </c>
      <c r="B209" t="s">
        <v>221</v>
      </c>
      <c r="C209" t="s">
        <v>12</v>
      </c>
      <c r="D209">
        <v>440160</v>
      </c>
      <c r="E209" t="str">
        <f>"0440160"</f>
        <v>0440160</v>
      </c>
      <c r="F209">
        <v>550</v>
      </c>
      <c r="G209" t="s">
        <v>13</v>
      </c>
      <c r="H209">
        <v>2020</v>
      </c>
      <c r="I209" t="s">
        <v>14</v>
      </c>
      <c r="J209" t="s">
        <v>15</v>
      </c>
    </row>
    <row r="210" spans="1:10" x14ac:dyDescent="0.25">
      <c r="A210" t="s">
        <v>10</v>
      </c>
      <c r="B210" t="s">
        <v>222</v>
      </c>
      <c r="C210" t="s">
        <v>12</v>
      </c>
      <c r="D210">
        <v>440400</v>
      </c>
      <c r="E210" t="str">
        <f>"0440400"</f>
        <v>0440400</v>
      </c>
      <c r="F210">
        <v>410</v>
      </c>
      <c r="G210" t="s">
        <v>13</v>
      </c>
      <c r="H210">
        <v>2020</v>
      </c>
      <c r="I210" t="s">
        <v>14</v>
      </c>
      <c r="J210" t="s">
        <v>15</v>
      </c>
    </row>
    <row r="211" spans="1:10" x14ac:dyDescent="0.25">
      <c r="A211" t="s">
        <v>10</v>
      </c>
      <c r="B211" t="s">
        <v>223</v>
      </c>
      <c r="C211" t="s">
        <v>12</v>
      </c>
      <c r="D211">
        <v>440415</v>
      </c>
      <c r="E211" t="str">
        <f>"0440415"</f>
        <v>0440415</v>
      </c>
      <c r="F211">
        <v>1307</v>
      </c>
      <c r="G211" t="s">
        <v>13</v>
      </c>
      <c r="H211">
        <v>2020</v>
      </c>
      <c r="I211" t="s">
        <v>14</v>
      </c>
      <c r="J211" t="s">
        <v>15</v>
      </c>
    </row>
    <row r="212" spans="1:10" x14ac:dyDescent="0.25">
      <c r="A212" t="s">
        <v>10</v>
      </c>
      <c r="B212" t="s">
        <v>224</v>
      </c>
      <c r="C212" t="s">
        <v>12</v>
      </c>
      <c r="D212">
        <v>440630</v>
      </c>
      <c r="E212" t="str">
        <f>"0440630"</f>
        <v>0440630</v>
      </c>
      <c r="F212">
        <v>1027</v>
      </c>
      <c r="G212" t="s">
        <v>13</v>
      </c>
      <c r="H212">
        <v>2020</v>
      </c>
      <c r="I212" t="s">
        <v>14</v>
      </c>
      <c r="J212" t="s">
        <v>15</v>
      </c>
    </row>
    <row r="213" spans="1:10" x14ac:dyDescent="0.25">
      <c r="A213" t="s">
        <v>10</v>
      </c>
      <c r="B213" t="s">
        <v>225</v>
      </c>
      <c r="C213" t="s">
        <v>12</v>
      </c>
      <c r="D213">
        <v>441085</v>
      </c>
      <c r="E213" t="str">
        <f>"0441085"</f>
        <v>0441085</v>
      </c>
      <c r="F213">
        <v>2299</v>
      </c>
      <c r="G213" t="s">
        <v>13</v>
      </c>
      <c r="H213">
        <v>2020</v>
      </c>
      <c r="I213" t="s">
        <v>14</v>
      </c>
      <c r="J213" t="s">
        <v>15</v>
      </c>
    </row>
    <row r="214" spans="1:10" x14ac:dyDescent="0.25">
      <c r="A214" t="s">
        <v>10</v>
      </c>
      <c r="B214" t="s">
        <v>226</v>
      </c>
      <c r="C214" t="s">
        <v>12</v>
      </c>
      <c r="D214">
        <v>441330</v>
      </c>
      <c r="E214" t="str">
        <f>"0441330"</f>
        <v>0441330</v>
      </c>
      <c r="F214">
        <v>6871</v>
      </c>
      <c r="G214" t="s">
        <v>13</v>
      </c>
      <c r="H214">
        <v>2020</v>
      </c>
      <c r="I214" t="s">
        <v>14</v>
      </c>
      <c r="J214" t="s">
        <v>15</v>
      </c>
    </row>
    <row r="215" spans="1:10" x14ac:dyDescent="0.25">
      <c r="A215" t="s">
        <v>10</v>
      </c>
      <c r="B215" t="s">
        <v>227</v>
      </c>
      <c r="C215" t="s">
        <v>12</v>
      </c>
      <c r="D215">
        <v>441470</v>
      </c>
      <c r="E215" t="str">
        <f>"0441470"</f>
        <v>0441470</v>
      </c>
      <c r="F215">
        <v>126</v>
      </c>
      <c r="G215" t="s">
        <v>13</v>
      </c>
      <c r="H215">
        <v>2020</v>
      </c>
      <c r="I215" t="s">
        <v>14</v>
      </c>
      <c r="J215" t="s">
        <v>15</v>
      </c>
    </row>
    <row r="216" spans="1:10" x14ac:dyDescent="0.25">
      <c r="A216" t="s">
        <v>10</v>
      </c>
      <c r="B216" t="s">
        <v>228</v>
      </c>
      <c r="C216" t="s">
        <v>12</v>
      </c>
      <c r="D216">
        <v>442460</v>
      </c>
      <c r="E216" t="str">
        <f>"0442460"</f>
        <v>0442460</v>
      </c>
      <c r="F216">
        <v>248</v>
      </c>
      <c r="G216" t="s">
        <v>13</v>
      </c>
      <c r="H216">
        <v>2020</v>
      </c>
      <c r="I216" t="s">
        <v>14</v>
      </c>
      <c r="J216" t="s">
        <v>15</v>
      </c>
    </row>
    <row r="217" spans="1:10" x14ac:dyDescent="0.25">
      <c r="A217" t="s">
        <v>10</v>
      </c>
      <c r="B217" t="s">
        <v>229</v>
      </c>
      <c r="C217" t="s">
        <v>12</v>
      </c>
      <c r="D217">
        <v>442590</v>
      </c>
      <c r="E217" t="str">
        <f>"0442590"</f>
        <v>0442590</v>
      </c>
      <c r="F217">
        <v>567</v>
      </c>
      <c r="G217" t="s">
        <v>13</v>
      </c>
      <c r="H217">
        <v>2020</v>
      </c>
      <c r="I217" t="s">
        <v>14</v>
      </c>
      <c r="J217" t="s">
        <v>15</v>
      </c>
    </row>
    <row r="218" spans="1:10" x14ac:dyDescent="0.25">
      <c r="A218" t="s">
        <v>10</v>
      </c>
      <c r="B218" t="s">
        <v>230</v>
      </c>
      <c r="C218" t="s">
        <v>12</v>
      </c>
      <c r="D218">
        <v>442660</v>
      </c>
      <c r="E218" t="str">
        <f>"0442660"</f>
        <v>0442660</v>
      </c>
      <c r="F218">
        <v>1876</v>
      </c>
      <c r="G218" t="s">
        <v>13</v>
      </c>
      <c r="H218">
        <v>2020</v>
      </c>
      <c r="I218" t="s">
        <v>14</v>
      </c>
      <c r="J218" t="s">
        <v>15</v>
      </c>
    </row>
    <row r="219" spans="1:10" x14ac:dyDescent="0.25">
      <c r="A219" t="s">
        <v>10</v>
      </c>
      <c r="B219" t="s">
        <v>231</v>
      </c>
      <c r="C219" t="s">
        <v>12</v>
      </c>
      <c r="D219">
        <v>442940</v>
      </c>
      <c r="E219" t="str">
        <f>"0442940"</f>
        <v>0442940</v>
      </c>
      <c r="F219">
        <v>4</v>
      </c>
      <c r="G219" t="s">
        <v>13</v>
      </c>
      <c r="H219">
        <v>2020</v>
      </c>
      <c r="I219" t="s">
        <v>14</v>
      </c>
      <c r="J219" t="s">
        <v>15</v>
      </c>
    </row>
    <row r="220" spans="1:10" x14ac:dyDescent="0.25">
      <c r="A220" t="s">
        <v>10</v>
      </c>
      <c r="B220" t="s">
        <v>232</v>
      </c>
      <c r="C220" t="s">
        <v>12</v>
      </c>
      <c r="D220">
        <v>443150</v>
      </c>
      <c r="E220" t="str">
        <f>"0443150"</f>
        <v>0443150</v>
      </c>
      <c r="F220">
        <v>0</v>
      </c>
      <c r="G220" t="s">
        <v>13</v>
      </c>
      <c r="H220">
        <v>2020</v>
      </c>
      <c r="I220" t="s">
        <v>14</v>
      </c>
      <c r="J220" t="s">
        <v>15</v>
      </c>
    </row>
    <row r="221" spans="1:10" x14ac:dyDescent="0.25">
      <c r="A221" t="s">
        <v>10</v>
      </c>
      <c r="B221" t="s">
        <v>233</v>
      </c>
      <c r="C221" t="s">
        <v>12</v>
      </c>
      <c r="D221">
        <v>443430</v>
      </c>
      <c r="E221" t="str">
        <f>"0443430"</f>
        <v>0443430</v>
      </c>
      <c r="F221">
        <v>946</v>
      </c>
      <c r="G221" t="s">
        <v>13</v>
      </c>
      <c r="H221">
        <v>2020</v>
      </c>
      <c r="I221" t="s">
        <v>14</v>
      </c>
      <c r="J221" t="s">
        <v>15</v>
      </c>
    </row>
    <row r="222" spans="1:10" x14ac:dyDescent="0.25">
      <c r="A222" t="s">
        <v>10</v>
      </c>
      <c r="B222" t="s">
        <v>234</v>
      </c>
      <c r="C222" t="s">
        <v>12</v>
      </c>
      <c r="D222">
        <v>443570</v>
      </c>
      <c r="E222" t="str">
        <f>"0443570"</f>
        <v>0443570</v>
      </c>
      <c r="F222">
        <v>228</v>
      </c>
      <c r="G222" t="s">
        <v>13</v>
      </c>
      <c r="H222">
        <v>2020</v>
      </c>
      <c r="I222" t="s">
        <v>14</v>
      </c>
      <c r="J222" t="s">
        <v>15</v>
      </c>
    </row>
    <row r="223" spans="1:10" x14ac:dyDescent="0.25">
      <c r="A223" t="s">
        <v>10</v>
      </c>
      <c r="B223" t="s">
        <v>235</v>
      </c>
      <c r="C223" t="s">
        <v>12</v>
      </c>
      <c r="D223">
        <v>443920</v>
      </c>
      <c r="E223" t="str">
        <f>"0443920"</f>
        <v>0443920</v>
      </c>
      <c r="F223">
        <v>48</v>
      </c>
      <c r="G223" t="s">
        <v>13</v>
      </c>
      <c r="H223">
        <v>2020</v>
      </c>
      <c r="I223" t="s">
        <v>14</v>
      </c>
      <c r="J223" t="s">
        <v>15</v>
      </c>
    </row>
    <row r="224" spans="1:10" x14ac:dyDescent="0.25">
      <c r="A224" t="s">
        <v>10</v>
      </c>
      <c r="B224" t="s">
        <v>236</v>
      </c>
      <c r="C224" t="s">
        <v>12</v>
      </c>
      <c r="D224">
        <v>443990</v>
      </c>
      <c r="E224" t="str">
        <f>"0443990"</f>
        <v>0443990</v>
      </c>
      <c r="F224">
        <v>1015</v>
      </c>
      <c r="G224" t="s">
        <v>13</v>
      </c>
      <c r="H224">
        <v>2020</v>
      </c>
      <c r="I224" t="s">
        <v>14</v>
      </c>
      <c r="J224" t="s">
        <v>15</v>
      </c>
    </row>
    <row r="225" spans="1:10" x14ac:dyDescent="0.25">
      <c r="A225" t="s">
        <v>10</v>
      </c>
      <c r="B225" t="s">
        <v>237</v>
      </c>
      <c r="C225" t="s">
        <v>12</v>
      </c>
      <c r="D225">
        <v>444200</v>
      </c>
      <c r="E225" t="str">
        <f>"0444200"</f>
        <v>0444200</v>
      </c>
      <c r="F225">
        <v>705</v>
      </c>
      <c r="G225" t="s">
        <v>13</v>
      </c>
      <c r="H225">
        <v>2020</v>
      </c>
      <c r="I225" t="s">
        <v>14</v>
      </c>
      <c r="J225" t="s">
        <v>15</v>
      </c>
    </row>
    <row r="226" spans="1:10" x14ac:dyDescent="0.25">
      <c r="A226" t="s">
        <v>10</v>
      </c>
      <c r="B226" t="s">
        <v>238</v>
      </c>
      <c r="C226" t="s">
        <v>12</v>
      </c>
      <c r="D226">
        <v>444270</v>
      </c>
      <c r="E226" t="str">
        <f>"0444270"</f>
        <v>0444270</v>
      </c>
      <c r="F226">
        <v>54487</v>
      </c>
      <c r="G226" t="s">
        <v>13</v>
      </c>
      <c r="H226">
        <v>2020</v>
      </c>
      <c r="I226" t="s">
        <v>14</v>
      </c>
      <c r="J226" t="s">
        <v>15</v>
      </c>
    </row>
    <row r="227" spans="1:10" x14ac:dyDescent="0.25">
      <c r="A227" t="s">
        <v>10</v>
      </c>
      <c r="B227" t="s">
        <v>239</v>
      </c>
      <c r="C227" t="s">
        <v>12</v>
      </c>
      <c r="D227">
        <v>444410</v>
      </c>
      <c r="E227" t="str">
        <f>"0444410"</f>
        <v>0444410</v>
      </c>
      <c r="F227">
        <v>62986</v>
      </c>
      <c r="G227" t="s">
        <v>13</v>
      </c>
      <c r="H227">
        <v>2020</v>
      </c>
      <c r="I227" t="s">
        <v>14</v>
      </c>
      <c r="J227" t="s">
        <v>15</v>
      </c>
    </row>
    <row r="228" spans="1:10" x14ac:dyDescent="0.25">
      <c r="A228" t="s">
        <v>10</v>
      </c>
      <c r="B228" t="s">
        <v>240</v>
      </c>
      <c r="C228" t="s">
        <v>12</v>
      </c>
      <c r="D228">
        <v>444450</v>
      </c>
      <c r="E228" t="str">
        <f>"0444450"</f>
        <v>0444450</v>
      </c>
      <c r="F228">
        <v>723</v>
      </c>
      <c r="G228" t="s">
        <v>13</v>
      </c>
      <c r="H228">
        <v>2020</v>
      </c>
      <c r="I228" t="s">
        <v>14</v>
      </c>
      <c r="J228" t="s">
        <v>15</v>
      </c>
    </row>
    <row r="229" spans="1:10" x14ac:dyDescent="0.25">
      <c r="A229" t="s">
        <v>10</v>
      </c>
      <c r="B229" t="s">
        <v>241</v>
      </c>
      <c r="C229" t="s">
        <v>12</v>
      </c>
      <c r="D229">
        <v>444830</v>
      </c>
      <c r="E229" t="str">
        <f>"0444830"</f>
        <v>0444830</v>
      </c>
      <c r="F229">
        <v>57</v>
      </c>
      <c r="G229" t="s">
        <v>13</v>
      </c>
      <c r="H229">
        <v>2020</v>
      </c>
      <c r="I229" t="s">
        <v>14</v>
      </c>
      <c r="J229" t="s">
        <v>15</v>
      </c>
    </row>
    <row r="230" spans="1:10" x14ac:dyDescent="0.25">
      <c r="A230" t="s">
        <v>10</v>
      </c>
      <c r="B230" t="s">
        <v>242</v>
      </c>
      <c r="C230" t="s">
        <v>12</v>
      </c>
      <c r="D230">
        <v>445180</v>
      </c>
      <c r="E230" t="str">
        <f>"0445180"</f>
        <v>0445180</v>
      </c>
      <c r="F230">
        <v>884</v>
      </c>
      <c r="G230" t="s">
        <v>13</v>
      </c>
      <c r="H230">
        <v>2020</v>
      </c>
      <c r="I230" t="s">
        <v>14</v>
      </c>
      <c r="J230" t="s">
        <v>15</v>
      </c>
    </row>
    <row r="231" spans="1:10" x14ac:dyDescent="0.25">
      <c r="A231" t="s">
        <v>10</v>
      </c>
      <c r="B231" t="s">
        <v>243</v>
      </c>
      <c r="C231" t="s">
        <v>12</v>
      </c>
      <c r="D231">
        <v>445275</v>
      </c>
      <c r="E231" t="str">
        <f>"0445275"</f>
        <v>0445275</v>
      </c>
      <c r="F231">
        <v>121</v>
      </c>
      <c r="G231" t="s">
        <v>13</v>
      </c>
      <c r="H231">
        <v>2020</v>
      </c>
      <c r="I231" t="s">
        <v>14</v>
      </c>
      <c r="J231" t="s">
        <v>15</v>
      </c>
    </row>
    <row r="232" spans="1:10" x14ac:dyDescent="0.25">
      <c r="A232" t="s">
        <v>10</v>
      </c>
      <c r="B232" t="s">
        <v>244</v>
      </c>
      <c r="C232" t="s">
        <v>12</v>
      </c>
      <c r="D232">
        <v>445285</v>
      </c>
      <c r="E232" t="str">
        <f>"0445285"</f>
        <v>0445285</v>
      </c>
      <c r="F232">
        <v>1624</v>
      </c>
      <c r="G232" t="s">
        <v>13</v>
      </c>
      <c r="H232">
        <v>2020</v>
      </c>
      <c r="I232" t="s">
        <v>14</v>
      </c>
      <c r="J232" t="s">
        <v>15</v>
      </c>
    </row>
    <row r="233" spans="1:10" x14ac:dyDescent="0.25">
      <c r="A233" t="s">
        <v>10</v>
      </c>
      <c r="B233" t="s">
        <v>245</v>
      </c>
      <c r="C233" t="s">
        <v>12</v>
      </c>
      <c r="D233">
        <v>446000</v>
      </c>
      <c r="E233" t="str">
        <f>"0446000"</f>
        <v>0446000</v>
      </c>
      <c r="F233">
        <v>507478</v>
      </c>
      <c r="G233" t="s">
        <v>13</v>
      </c>
      <c r="H233">
        <v>2020</v>
      </c>
      <c r="I233" t="s">
        <v>14</v>
      </c>
      <c r="J233" t="s">
        <v>15</v>
      </c>
    </row>
    <row r="234" spans="1:10" x14ac:dyDescent="0.25">
      <c r="A234" t="s">
        <v>10</v>
      </c>
      <c r="B234" t="s">
        <v>246</v>
      </c>
      <c r="C234" t="s">
        <v>12</v>
      </c>
      <c r="D234">
        <v>446005</v>
      </c>
      <c r="E234" t="str">
        <f>"0446005"</f>
        <v>0446005</v>
      </c>
      <c r="F234">
        <v>1188</v>
      </c>
      <c r="G234" t="s">
        <v>13</v>
      </c>
      <c r="H234">
        <v>2020</v>
      </c>
      <c r="I234" t="s">
        <v>14</v>
      </c>
      <c r="J234" t="s">
        <v>15</v>
      </c>
    </row>
    <row r="235" spans="1:10" x14ac:dyDescent="0.25">
      <c r="A235" t="s">
        <v>10</v>
      </c>
      <c r="B235" t="s">
        <v>247</v>
      </c>
      <c r="C235" t="s">
        <v>12</v>
      </c>
      <c r="D235">
        <v>446070</v>
      </c>
      <c r="E235" t="str">
        <f>"0446070"</f>
        <v>0446070</v>
      </c>
      <c r="F235">
        <v>1601</v>
      </c>
      <c r="G235" t="s">
        <v>13</v>
      </c>
      <c r="H235">
        <v>2020</v>
      </c>
      <c r="I235" t="s">
        <v>14</v>
      </c>
      <c r="J235" t="s">
        <v>15</v>
      </c>
    </row>
    <row r="236" spans="1:10" x14ac:dyDescent="0.25">
      <c r="A236" t="s">
        <v>10</v>
      </c>
      <c r="B236" t="s">
        <v>248</v>
      </c>
      <c r="C236" t="s">
        <v>12</v>
      </c>
      <c r="D236">
        <v>446087</v>
      </c>
      <c r="E236" t="str">
        <f>"0446087"</f>
        <v>0446087</v>
      </c>
      <c r="F236">
        <v>484</v>
      </c>
      <c r="G236" t="s">
        <v>13</v>
      </c>
      <c r="H236">
        <v>2020</v>
      </c>
      <c r="I236" t="s">
        <v>14</v>
      </c>
      <c r="J236" t="s">
        <v>15</v>
      </c>
    </row>
    <row r="237" spans="1:10" x14ac:dyDescent="0.25">
      <c r="A237" t="s">
        <v>10</v>
      </c>
      <c r="B237" t="s">
        <v>249</v>
      </c>
      <c r="C237" t="s">
        <v>12</v>
      </c>
      <c r="D237">
        <v>446350</v>
      </c>
      <c r="E237" t="str">
        <f>"0446350"</f>
        <v>0446350</v>
      </c>
      <c r="F237">
        <v>1436</v>
      </c>
      <c r="G237" t="s">
        <v>13</v>
      </c>
      <c r="H237">
        <v>2020</v>
      </c>
      <c r="I237" t="s">
        <v>14</v>
      </c>
      <c r="J237" t="s">
        <v>15</v>
      </c>
    </row>
    <row r="238" spans="1:10" x14ac:dyDescent="0.25">
      <c r="A238" t="s">
        <v>10</v>
      </c>
      <c r="B238" t="s">
        <v>250</v>
      </c>
      <c r="C238" t="s">
        <v>12</v>
      </c>
      <c r="D238">
        <v>446840</v>
      </c>
      <c r="E238" t="str">
        <f>"0446840"</f>
        <v>0446840</v>
      </c>
      <c r="F238">
        <v>734</v>
      </c>
      <c r="G238" t="s">
        <v>13</v>
      </c>
      <c r="H238">
        <v>2020</v>
      </c>
      <c r="I238" t="s">
        <v>14</v>
      </c>
      <c r="J238" t="s">
        <v>15</v>
      </c>
    </row>
    <row r="239" spans="1:10" x14ac:dyDescent="0.25">
      <c r="A239" t="s">
        <v>10</v>
      </c>
      <c r="B239" t="s">
        <v>251</v>
      </c>
      <c r="C239" t="s">
        <v>12</v>
      </c>
      <c r="D239">
        <v>447190</v>
      </c>
      <c r="E239" t="str">
        <f>"0447190"</f>
        <v>0447190</v>
      </c>
      <c r="F239">
        <v>29</v>
      </c>
      <c r="G239" t="s">
        <v>13</v>
      </c>
      <c r="H239">
        <v>2020</v>
      </c>
      <c r="I239" t="s">
        <v>14</v>
      </c>
      <c r="J239" t="s">
        <v>15</v>
      </c>
    </row>
    <row r="240" spans="1:10" x14ac:dyDescent="0.25">
      <c r="A240" t="s">
        <v>10</v>
      </c>
      <c r="B240" t="s">
        <v>252</v>
      </c>
      <c r="C240" t="s">
        <v>12</v>
      </c>
      <c r="D240">
        <v>447330</v>
      </c>
      <c r="E240" t="str">
        <f>"0447330"</f>
        <v>0447330</v>
      </c>
      <c r="F240">
        <v>1028</v>
      </c>
      <c r="G240" t="s">
        <v>13</v>
      </c>
      <c r="H240">
        <v>2020</v>
      </c>
      <c r="I240" t="s">
        <v>14</v>
      </c>
      <c r="J240" t="s">
        <v>15</v>
      </c>
    </row>
    <row r="241" spans="1:10" x14ac:dyDescent="0.25">
      <c r="A241" t="s">
        <v>10</v>
      </c>
      <c r="B241" t="s">
        <v>253</v>
      </c>
      <c r="C241" t="s">
        <v>12</v>
      </c>
      <c r="D241">
        <v>447400</v>
      </c>
      <c r="E241" t="str">
        <f>"0447400"</f>
        <v>0447400</v>
      </c>
      <c r="F241">
        <v>2585</v>
      </c>
      <c r="G241" t="s">
        <v>13</v>
      </c>
      <c r="H241">
        <v>2020</v>
      </c>
      <c r="I241" t="s">
        <v>14</v>
      </c>
      <c r="J241" t="s">
        <v>15</v>
      </c>
    </row>
    <row r="242" spans="1:10" x14ac:dyDescent="0.25">
      <c r="A242" t="s">
        <v>10</v>
      </c>
      <c r="B242" t="s">
        <v>254</v>
      </c>
      <c r="C242" t="s">
        <v>12</v>
      </c>
      <c r="D242">
        <v>447495</v>
      </c>
      <c r="E242" t="str">
        <f>"0447495"</f>
        <v>0447495</v>
      </c>
      <c r="F242">
        <v>39</v>
      </c>
      <c r="G242" t="s">
        <v>13</v>
      </c>
      <c r="H242">
        <v>2020</v>
      </c>
      <c r="I242" t="s">
        <v>14</v>
      </c>
      <c r="J242" t="s">
        <v>15</v>
      </c>
    </row>
    <row r="243" spans="1:10" x14ac:dyDescent="0.25">
      <c r="A243" t="s">
        <v>10</v>
      </c>
      <c r="B243" t="s">
        <v>255</v>
      </c>
      <c r="C243" t="s">
        <v>12</v>
      </c>
      <c r="D243">
        <v>447610</v>
      </c>
      <c r="E243" t="str">
        <f>"0447610"</f>
        <v>0447610</v>
      </c>
      <c r="F243">
        <v>1514</v>
      </c>
      <c r="G243" t="s">
        <v>13</v>
      </c>
      <c r="H243">
        <v>2020</v>
      </c>
      <c r="I243" t="s">
        <v>14</v>
      </c>
      <c r="J243" t="s">
        <v>15</v>
      </c>
    </row>
    <row r="244" spans="1:10" x14ac:dyDescent="0.25">
      <c r="A244" t="s">
        <v>10</v>
      </c>
      <c r="B244" t="s">
        <v>256</v>
      </c>
      <c r="C244" t="s">
        <v>12</v>
      </c>
      <c r="D244">
        <v>447680</v>
      </c>
      <c r="E244" t="str">
        <f>"0447680"</f>
        <v>0447680</v>
      </c>
      <c r="F244">
        <v>175</v>
      </c>
      <c r="G244" t="s">
        <v>13</v>
      </c>
      <c r="H244">
        <v>2020</v>
      </c>
      <c r="I244" t="s">
        <v>14</v>
      </c>
      <c r="J244" t="s">
        <v>15</v>
      </c>
    </row>
    <row r="245" spans="1:10" x14ac:dyDescent="0.25">
      <c r="A245" t="s">
        <v>10</v>
      </c>
      <c r="B245" t="s">
        <v>257</v>
      </c>
      <c r="C245" t="s">
        <v>12</v>
      </c>
      <c r="D245">
        <v>447750</v>
      </c>
      <c r="E245" t="str">
        <f>"0447750"</f>
        <v>0447750</v>
      </c>
      <c r="F245">
        <v>194</v>
      </c>
      <c r="G245" t="s">
        <v>13</v>
      </c>
      <c r="H245">
        <v>2020</v>
      </c>
      <c r="I245" t="s">
        <v>14</v>
      </c>
      <c r="J245" t="s">
        <v>15</v>
      </c>
    </row>
    <row r="246" spans="1:10" x14ac:dyDescent="0.25">
      <c r="A246" t="s">
        <v>10</v>
      </c>
      <c r="B246" t="s">
        <v>258</v>
      </c>
      <c r="C246" t="s">
        <v>12</v>
      </c>
      <c r="D246">
        <v>447820</v>
      </c>
      <c r="E246" t="str">
        <f>"0447820"</f>
        <v>0447820</v>
      </c>
      <c r="F246">
        <v>957</v>
      </c>
      <c r="G246" t="s">
        <v>13</v>
      </c>
      <c r="H246">
        <v>2020</v>
      </c>
      <c r="I246" t="s">
        <v>14</v>
      </c>
      <c r="J246" t="s">
        <v>15</v>
      </c>
    </row>
    <row r="247" spans="1:10" x14ac:dyDescent="0.25">
      <c r="A247" t="s">
        <v>10</v>
      </c>
      <c r="B247" t="s">
        <v>259</v>
      </c>
      <c r="C247" t="s">
        <v>12</v>
      </c>
      <c r="D247">
        <v>447925</v>
      </c>
      <c r="E247" t="str">
        <f>"0447925"</f>
        <v>0447925</v>
      </c>
      <c r="F247">
        <v>1924</v>
      </c>
      <c r="G247" t="s">
        <v>13</v>
      </c>
      <c r="H247">
        <v>2020</v>
      </c>
      <c r="I247" t="s">
        <v>14</v>
      </c>
      <c r="J247" t="s">
        <v>15</v>
      </c>
    </row>
    <row r="248" spans="1:10" x14ac:dyDescent="0.25">
      <c r="A248" t="s">
        <v>10</v>
      </c>
      <c r="B248" t="s">
        <v>260</v>
      </c>
      <c r="C248" t="s">
        <v>12</v>
      </c>
      <c r="D248">
        <v>448170</v>
      </c>
      <c r="E248" t="str">
        <f>"0448170"</f>
        <v>0448170</v>
      </c>
      <c r="F248">
        <v>752</v>
      </c>
      <c r="G248" t="s">
        <v>13</v>
      </c>
      <c r="H248">
        <v>2020</v>
      </c>
      <c r="I248" t="s">
        <v>14</v>
      </c>
      <c r="J248" t="s">
        <v>15</v>
      </c>
    </row>
    <row r="249" spans="1:10" x14ac:dyDescent="0.25">
      <c r="A249" t="s">
        <v>10</v>
      </c>
      <c r="B249" t="s">
        <v>261</v>
      </c>
      <c r="C249" t="s">
        <v>12</v>
      </c>
      <c r="D249">
        <v>448310</v>
      </c>
      <c r="E249" t="str">
        <f>"0448310"</f>
        <v>0448310</v>
      </c>
      <c r="F249">
        <v>1176</v>
      </c>
      <c r="G249" t="s">
        <v>13</v>
      </c>
      <c r="H249">
        <v>2020</v>
      </c>
      <c r="I249" t="s">
        <v>14</v>
      </c>
      <c r="J249" t="s">
        <v>15</v>
      </c>
    </row>
    <row r="250" spans="1:10" x14ac:dyDescent="0.25">
      <c r="A250" t="s">
        <v>10</v>
      </c>
      <c r="B250" t="s">
        <v>262</v>
      </c>
      <c r="C250" t="s">
        <v>12</v>
      </c>
      <c r="D250">
        <v>449010</v>
      </c>
      <c r="E250" t="str">
        <f>"0449010"</f>
        <v>0449010</v>
      </c>
      <c r="F250">
        <v>502</v>
      </c>
      <c r="G250" t="s">
        <v>13</v>
      </c>
      <c r="H250">
        <v>2020</v>
      </c>
      <c r="I250" t="s">
        <v>14</v>
      </c>
      <c r="J250" t="s">
        <v>15</v>
      </c>
    </row>
    <row r="251" spans="1:10" x14ac:dyDescent="0.25">
      <c r="A251" t="s">
        <v>10</v>
      </c>
      <c r="B251" t="s">
        <v>263</v>
      </c>
      <c r="C251" t="s">
        <v>12</v>
      </c>
      <c r="D251">
        <v>449100</v>
      </c>
      <c r="E251" t="str">
        <f>"0449100"</f>
        <v>0449100</v>
      </c>
      <c r="F251">
        <v>316</v>
      </c>
      <c r="G251" t="s">
        <v>13</v>
      </c>
      <c r="H251">
        <v>2020</v>
      </c>
      <c r="I251" t="s">
        <v>14</v>
      </c>
      <c r="J251" t="s">
        <v>15</v>
      </c>
    </row>
    <row r="252" spans="1:10" x14ac:dyDescent="0.25">
      <c r="A252" t="s">
        <v>10</v>
      </c>
      <c r="B252" t="s">
        <v>264</v>
      </c>
      <c r="C252" t="s">
        <v>12</v>
      </c>
      <c r="D252">
        <v>449270</v>
      </c>
      <c r="E252" t="str">
        <f>"0449270"</f>
        <v>0449270</v>
      </c>
      <c r="F252">
        <v>14281</v>
      </c>
      <c r="G252" t="s">
        <v>13</v>
      </c>
      <c r="H252">
        <v>2020</v>
      </c>
      <c r="I252" t="s">
        <v>14</v>
      </c>
      <c r="J252" t="s">
        <v>15</v>
      </c>
    </row>
    <row r="253" spans="1:10" x14ac:dyDescent="0.25">
      <c r="A253" t="s">
        <v>10</v>
      </c>
      <c r="B253" t="s">
        <v>265</v>
      </c>
      <c r="C253" t="s">
        <v>12</v>
      </c>
      <c r="D253">
        <v>449360</v>
      </c>
      <c r="E253" t="str">
        <f>"0449360"</f>
        <v>0449360</v>
      </c>
      <c r="F253">
        <v>18365</v>
      </c>
      <c r="G253" t="s">
        <v>13</v>
      </c>
      <c r="H253">
        <v>2020</v>
      </c>
      <c r="I253" t="s">
        <v>14</v>
      </c>
      <c r="J253" t="s">
        <v>15</v>
      </c>
    </row>
    <row r="254" spans="1:10" x14ac:dyDescent="0.25">
      <c r="A254" t="s">
        <v>10</v>
      </c>
      <c r="B254" t="s">
        <v>266</v>
      </c>
      <c r="C254" t="s">
        <v>12</v>
      </c>
      <c r="D254">
        <v>449640</v>
      </c>
      <c r="E254" t="str">
        <f>"0449640"</f>
        <v>0449640</v>
      </c>
      <c r="F254">
        <v>19753</v>
      </c>
      <c r="G254" t="s">
        <v>13</v>
      </c>
      <c r="H254">
        <v>2020</v>
      </c>
      <c r="I254" t="s">
        <v>14</v>
      </c>
      <c r="J254" t="s">
        <v>15</v>
      </c>
    </row>
    <row r="255" spans="1:10" x14ac:dyDescent="0.25">
      <c r="A255" t="s">
        <v>10</v>
      </c>
      <c r="B255" t="s">
        <v>267</v>
      </c>
      <c r="C255" t="s">
        <v>12</v>
      </c>
      <c r="D255">
        <v>449710</v>
      </c>
      <c r="E255" t="str">
        <f>"0449710"</f>
        <v>0449710</v>
      </c>
      <c r="F255">
        <v>0</v>
      </c>
      <c r="G255" t="s">
        <v>13</v>
      </c>
      <c r="H255">
        <v>2020</v>
      </c>
      <c r="I255" t="s">
        <v>14</v>
      </c>
      <c r="J255" t="s">
        <v>15</v>
      </c>
    </row>
    <row r="256" spans="1:10" x14ac:dyDescent="0.25">
      <c r="A256" t="s">
        <v>10</v>
      </c>
      <c r="B256" t="s">
        <v>268</v>
      </c>
      <c r="C256" t="s">
        <v>12</v>
      </c>
      <c r="D256">
        <v>450000</v>
      </c>
      <c r="E256" t="str">
        <f>"0450000"</f>
        <v>0450000</v>
      </c>
      <c r="F256">
        <v>1454</v>
      </c>
      <c r="G256" t="s">
        <v>13</v>
      </c>
      <c r="H256">
        <v>2020</v>
      </c>
      <c r="I256" t="s">
        <v>14</v>
      </c>
      <c r="J256" t="s">
        <v>15</v>
      </c>
    </row>
    <row r="257" spans="1:10" x14ac:dyDescent="0.25">
      <c r="A257" t="s">
        <v>10</v>
      </c>
      <c r="B257" t="s">
        <v>269</v>
      </c>
      <c r="C257" t="s">
        <v>12</v>
      </c>
      <c r="D257">
        <v>450340</v>
      </c>
      <c r="E257" t="str">
        <f>"0450340"</f>
        <v>0450340</v>
      </c>
      <c r="F257">
        <v>478</v>
      </c>
      <c r="G257" t="s">
        <v>13</v>
      </c>
      <c r="H257">
        <v>2020</v>
      </c>
      <c r="I257" t="s">
        <v>14</v>
      </c>
      <c r="J257" t="s">
        <v>15</v>
      </c>
    </row>
    <row r="258" spans="1:10" x14ac:dyDescent="0.25">
      <c r="A258" t="s">
        <v>10</v>
      </c>
      <c r="B258" t="s">
        <v>270</v>
      </c>
      <c r="C258" t="s">
        <v>12</v>
      </c>
      <c r="D258">
        <v>450362</v>
      </c>
      <c r="E258" t="str">
        <f>"0450362"</f>
        <v>0450362</v>
      </c>
      <c r="F258">
        <v>321</v>
      </c>
      <c r="G258" t="s">
        <v>13</v>
      </c>
      <c r="H258">
        <v>2020</v>
      </c>
      <c r="I258" t="s">
        <v>14</v>
      </c>
      <c r="J258" t="s">
        <v>15</v>
      </c>
    </row>
    <row r="259" spans="1:10" x14ac:dyDescent="0.25">
      <c r="A259" t="s">
        <v>10</v>
      </c>
      <c r="B259" t="s">
        <v>271</v>
      </c>
      <c r="C259" t="s">
        <v>12</v>
      </c>
      <c r="D259">
        <v>450480</v>
      </c>
      <c r="E259" t="str">
        <f>"0450480"</f>
        <v>0450480</v>
      </c>
      <c r="F259">
        <v>28</v>
      </c>
      <c r="G259" t="s">
        <v>13</v>
      </c>
      <c r="H259">
        <v>2020</v>
      </c>
      <c r="I259" t="s">
        <v>14</v>
      </c>
      <c r="J259" t="s">
        <v>15</v>
      </c>
    </row>
    <row r="260" spans="1:10" x14ac:dyDescent="0.25">
      <c r="A260" t="s">
        <v>10</v>
      </c>
      <c r="B260" t="s">
        <v>272</v>
      </c>
      <c r="C260" t="s">
        <v>12</v>
      </c>
      <c r="D260">
        <v>450620</v>
      </c>
      <c r="E260" t="str">
        <f>"0450620"</f>
        <v>0450620</v>
      </c>
      <c r="F260">
        <v>98</v>
      </c>
      <c r="G260" t="s">
        <v>13</v>
      </c>
      <c r="H260">
        <v>2020</v>
      </c>
      <c r="I260" t="s">
        <v>14</v>
      </c>
      <c r="J260" t="s">
        <v>15</v>
      </c>
    </row>
    <row r="261" spans="1:10" x14ac:dyDescent="0.25">
      <c r="A261" t="s">
        <v>10</v>
      </c>
      <c r="B261" t="s">
        <v>273</v>
      </c>
      <c r="C261" t="s">
        <v>12</v>
      </c>
      <c r="D261">
        <v>451142</v>
      </c>
      <c r="E261" t="str">
        <f>"0451142"</f>
        <v>0451142</v>
      </c>
      <c r="F261">
        <v>59</v>
      </c>
      <c r="G261" t="s">
        <v>13</v>
      </c>
      <c r="H261">
        <v>2020</v>
      </c>
      <c r="I261" t="s">
        <v>14</v>
      </c>
      <c r="J261" t="s">
        <v>15</v>
      </c>
    </row>
    <row r="262" spans="1:10" x14ac:dyDescent="0.25">
      <c r="A262" t="s">
        <v>10</v>
      </c>
      <c r="B262" t="s">
        <v>274</v>
      </c>
      <c r="C262" t="s">
        <v>12</v>
      </c>
      <c r="D262">
        <v>451180</v>
      </c>
      <c r="E262" t="str">
        <f>"0451180"</f>
        <v>0451180</v>
      </c>
      <c r="F262">
        <v>3154</v>
      </c>
      <c r="G262" t="s">
        <v>13</v>
      </c>
      <c r="H262">
        <v>2020</v>
      </c>
      <c r="I262" t="s">
        <v>14</v>
      </c>
      <c r="J262" t="s">
        <v>15</v>
      </c>
    </row>
    <row r="263" spans="1:10" x14ac:dyDescent="0.25">
      <c r="A263" t="s">
        <v>10</v>
      </c>
      <c r="B263" t="s">
        <v>275</v>
      </c>
      <c r="C263" t="s">
        <v>12</v>
      </c>
      <c r="D263">
        <v>451465</v>
      </c>
      <c r="E263" t="str">
        <f>"0451465"</f>
        <v>0451465</v>
      </c>
      <c r="F263">
        <v>229</v>
      </c>
      <c r="G263" t="s">
        <v>13</v>
      </c>
      <c r="H263">
        <v>2020</v>
      </c>
      <c r="I263" t="s">
        <v>14</v>
      </c>
      <c r="J263" t="s">
        <v>15</v>
      </c>
    </row>
    <row r="264" spans="1:10" x14ac:dyDescent="0.25">
      <c r="A264" t="s">
        <v>10</v>
      </c>
      <c r="B264" t="s">
        <v>276</v>
      </c>
      <c r="C264" t="s">
        <v>12</v>
      </c>
      <c r="D264">
        <v>451600</v>
      </c>
      <c r="E264" t="str">
        <f>"0451600"</f>
        <v>0451600</v>
      </c>
      <c r="F264">
        <v>47595</v>
      </c>
      <c r="G264" t="s">
        <v>13</v>
      </c>
      <c r="H264">
        <v>2020</v>
      </c>
      <c r="I264" t="s">
        <v>14</v>
      </c>
      <c r="J264" t="s">
        <v>15</v>
      </c>
    </row>
    <row r="265" spans="1:10" x14ac:dyDescent="0.25">
      <c r="A265" t="s">
        <v>10</v>
      </c>
      <c r="B265" t="s">
        <v>277</v>
      </c>
      <c r="C265" t="s">
        <v>12</v>
      </c>
      <c r="D265">
        <v>451775</v>
      </c>
      <c r="E265" t="str">
        <f>"0451775"</f>
        <v>0451775</v>
      </c>
      <c r="F265">
        <v>81</v>
      </c>
      <c r="G265" t="s">
        <v>13</v>
      </c>
      <c r="H265">
        <v>2020</v>
      </c>
      <c r="I265" t="s">
        <v>14</v>
      </c>
      <c r="J265" t="s">
        <v>15</v>
      </c>
    </row>
    <row r="266" spans="1:10" x14ac:dyDescent="0.25">
      <c r="A266" t="s">
        <v>10</v>
      </c>
      <c r="B266" t="s">
        <v>278</v>
      </c>
      <c r="C266" t="s">
        <v>12</v>
      </c>
      <c r="D266">
        <v>451800</v>
      </c>
      <c r="E266" t="str">
        <f>"0451800"</f>
        <v>0451800</v>
      </c>
      <c r="F266">
        <v>0</v>
      </c>
      <c r="G266" t="s">
        <v>13</v>
      </c>
      <c r="H266">
        <v>2020</v>
      </c>
      <c r="I266" t="s">
        <v>14</v>
      </c>
      <c r="J266" t="s">
        <v>15</v>
      </c>
    </row>
    <row r="267" spans="1:10" x14ac:dyDescent="0.25">
      <c r="A267" t="s">
        <v>10</v>
      </c>
      <c r="B267" t="s">
        <v>279</v>
      </c>
      <c r="C267" t="s">
        <v>12</v>
      </c>
      <c r="D267">
        <v>451810</v>
      </c>
      <c r="E267" t="str">
        <f>"0451810"</f>
        <v>0451810</v>
      </c>
      <c r="F267">
        <v>7407</v>
      </c>
      <c r="G267" t="s">
        <v>13</v>
      </c>
      <c r="H267">
        <v>2020</v>
      </c>
      <c r="I267" t="s">
        <v>14</v>
      </c>
      <c r="J267" t="s">
        <v>15</v>
      </c>
    </row>
    <row r="268" spans="1:10" x14ac:dyDescent="0.25">
      <c r="A268" t="s">
        <v>10</v>
      </c>
      <c r="B268" t="s">
        <v>280</v>
      </c>
      <c r="C268" t="s">
        <v>12</v>
      </c>
      <c r="D268">
        <v>452230</v>
      </c>
      <c r="E268" t="str">
        <f>"0452230"</f>
        <v>0452230</v>
      </c>
      <c r="F268">
        <v>278</v>
      </c>
      <c r="G268" t="s">
        <v>13</v>
      </c>
      <c r="H268">
        <v>2020</v>
      </c>
      <c r="I268" t="s">
        <v>14</v>
      </c>
      <c r="J268" t="s">
        <v>15</v>
      </c>
    </row>
    <row r="269" spans="1:10" x14ac:dyDescent="0.25">
      <c r="A269" t="s">
        <v>10</v>
      </c>
      <c r="B269" t="s">
        <v>281</v>
      </c>
      <c r="C269" t="s">
        <v>12</v>
      </c>
      <c r="D269">
        <v>452930</v>
      </c>
      <c r="E269" t="str">
        <f>"0452930"</f>
        <v>0452930</v>
      </c>
      <c r="F269">
        <v>12621</v>
      </c>
      <c r="G269" t="s">
        <v>13</v>
      </c>
      <c r="H269">
        <v>2020</v>
      </c>
      <c r="I269" t="s">
        <v>14</v>
      </c>
      <c r="J269" t="s">
        <v>15</v>
      </c>
    </row>
    <row r="270" spans="1:10" x14ac:dyDescent="0.25">
      <c r="A270" t="s">
        <v>10</v>
      </c>
      <c r="B270" t="s">
        <v>282</v>
      </c>
      <c r="C270" t="s">
        <v>12</v>
      </c>
      <c r="D270">
        <v>453070</v>
      </c>
      <c r="E270" t="str">
        <f>"0453070"</f>
        <v>0453070</v>
      </c>
      <c r="F270">
        <v>3379</v>
      </c>
      <c r="G270" t="s">
        <v>13</v>
      </c>
      <c r="H270">
        <v>2020</v>
      </c>
      <c r="I270" t="s">
        <v>14</v>
      </c>
      <c r="J270" t="s">
        <v>15</v>
      </c>
    </row>
    <row r="271" spans="1:10" x14ac:dyDescent="0.25">
      <c r="A271" t="s">
        <v>10</v>
      </c>
      <c r="B271" t="s">
        <v>283</v>
      </c>
      <c r="C271" t="s">
        <v>12</v>
      </c>
      <c r="D271">
        <v>453210</v>
      </c>
      <c r="E271" t="str">
        <f>"0453210"</f>
        <v>0453210</v>
      </c>
      <c r="F271">
        <v>767</v>
      </c>
      <c r="G271" t="s">
        <v>13</v>
      </c>
      <c r="H271">
        <v>2020</v>
      </c>
      <c r="I271" t="s">
        <v>14</v>
      </c>
      <c r="J271" t="s">
        <v>15</v>
      </c>
    </row>
    <row r="272" spans="1:10" x14ac:dyDescent="0.25">
      <c r="A272" t="s">
        <v>10</v>
      </c>
      <c r="B272" t="s">
        <v>284</v>
      </c>
      <c r="C272" t="s">
        <v>12</v>
      </c>
      <c r="D272">
        <v>453350</v>
      </c>
      <c r="E272" t="str">
        <f>"0453350"</f>
        <v>0453350</v>
      </c>
      <c r="F272">
        <v>1514</v>
      </c>
      <c r="G272" t="s">
        <v>13</v>
      </c>
      <c r="H272">
        <v>2020</v>
      </c>
      <c r="I272" t="s">
        <v>14</v>
      </c>
      <c r="J272" t="s">
        <v>15</v>
      </c>
    </row>
    <row r="273" spans="1:10" x14ac:dyDescent="0.25">
      <c r="A273" t="s">
        <v>10</v>
      </c>
      <c r="B273" t="s">
        <v>285</v>
      </c>
      <c r="C273" t="s">
        <v>12</v>
      </c>
      <c r="D273">
        <v>453490</v>
      </c>
      <c r="E273" t="str">
        <f>"0453490"</f>
        <v>0453490</v>
      </c>
      <c r="F273">
        <v>882</v>
      </c>
      <c r="G273" t="s">
        <v>13</v>
      </c>
      <c r="H273">
        <v>2020</v>
      </c>
      <c r="I273" t="s">
        <v>14</v>
      </c>
      <c r="J273" t="s">
        <v>15</v>
      </c>
    </row>
    <row r="274" spans="1:10" x14ac:dyDescent="0.25">
      <c r="A274" t="s">
        <v>10</v>
      </c>
      <c r="B274" t="s">
        <v>286</v>
      </c>
      <c r="C274" t="s">
        <v>12</v>
      </c>
      <c r="D274">
        <v>453560</v>
      </c>
      <c r="E274" t="str">
        <f>"0453560"</f>
        <v>0453560</v>
      </c>
      <c r="F274">
        <v>4874</v>
      </c>
      <c r="G274" t="s">
        <v>13</v>
      </c>
      <c r="H274">
        <v>2020</v>
      </c>
      <c r="I274" t="s">
        <v>14</v>
      </c>
      <c r="J274" t="s">
        <v>15</v>
      </c>
    </row>
    <row r="275" spans="1:10" x14ac:dyDescent="0.25">
      <c r="A275" t="s">
        <v>10</v>
      </c>
      <c r="B275" t="s">
        <v>287</v>
      </c>
      <c r="C275" t="s">
        <v>12</v>
      </c>
      <c r="D275">
        <v>453700</v>
      </c>
      <c r="E275" t="str">
        <f>"0453700"</f>
        <v>0453700</v>
      </c>
      <c r="F275">
        <v>16494</v>
      </c>
      <c r="G275" t="s">
        <v>13</v>
      </c>
      <c r="H275">
        <v>2020</v>
      </c>
      <c r="I275" t="s">
        <v>14</v>
      </c>
      <c r="J275" t="s">
        <v>15</v>
      </c>
    </row>
    <row r="276" spans="1:10" x14ac:dyDescent="0.25">
      <c r="A276" t="s">
        <v>10</v>
      </c>
      <c r="B276" t="s">
        <v>288</v>
      </c>
      <c r="C276" t="s">
        <v>12</v>
      </c>
      <c r="D276">
        <v>453770</v>
      </c>
      <c r="E276" t="str">
        <f>"0453770"</f>
        <v>0453770</v>
      </c>
      <c r="F276">
        <v>1196</v>
      </c>
      <c r="G276" t="s">
        <v>13</v>
      </c>
      <c r="H276">
        <v>2020</v>
      </c>
      <c r="I276" t="s">
        <v>14</v>
      </c>
      <c r="J276" t="s">
        <v>15</v>
      </c>
    </row>
    <row r="277" spans="1:10" x14ac:dyDescent="0.25">
      <c r="A277" t="s">
        <v>10</v>
      </c>
      <c r="B277" t="s">
        <v>289</v>
      </c>
      <c r="C277" t="s">
        <v>12</v>
      </c>
      <c r="D277">
        <v>453910</v>
      </c>
      <c r="E277" t="str">
        <f>"0453910"</f>
        <v>0453910</v>
      </c>
      <c r="F277">
        <v>707</v>
      </c>
      <c r="G277" t="s">
        <v>13</v>
      </c>
      <c r="H277">
        <v>2020</v>
      </c>
      <c r="I277" t="s">
        <v>14</v>
      </c>
      <c r="J277" t="s">
        <v>15</v>
      </c>
    </row>
    <row r="278" spans="1:10" x14ac:dyDescent="0.25">
      <c r="A278" t="s">
        <v>10</v>
      </c>
      <c r="B278" t="s">
        <v>290</v>
      </c>
      <c r="C278" t="s">
        <v>12</v>
      </c>
      <c r="D278">
        <v>454050</v>
      </c>
      <c r="E278" t="str">
        <f>"0454050"</f>
        <v>0454050</v>
      </c>
      <c r="F278">
        <v>194338</v>
      </c>
      <c r="G278" t="s">
        <v>13</v>
      </c>
      <c r="H278">
        <v>2020</v>
      </c>
      <c r="I278" t="s">
        <v>14</v>
      </c>
      <c r="J278" t="s">
        <v>15</v>
      </c>
    </row>
    <row r="279" spans="1:10" x14ac:dyDescent="0.25">
      <c r="A279" t="s">
        <v>10</v>
      </c>
      <c r="B279" t="s">
        <v>291</v>
      </c>
      <c r="C279" t="s">
        <v>12</v>
      </c>
      <c r="D279">
        <v>454190</v>
      </c>
      <c r="E279" t="str">
        <f>"0454190"</f>
        <v>0454190</v>
      </c>
      <c r="F279">
        <v>1141</v>
      </c>
      <c r="G279" t="s">
        <v>13</v>
      </c>
      <c r="H279">
        <v>2020</v>
      </c>
      <c r="I279" t="s">
        <v>14</v>
      </c>
      <c r="J279" t="s">
        <v>15</v>
      </c>
    </row>
    <row r="280" spans="1:10" x14ac:dyDescent="0.25">
      <c r="A280" t="s">
        <v>10</v>
      </c>
      <c r="B280" t="s">
        <v>292</v>
      </c>
      <c r="C280" t="s">
        <v>12</v>
      </c>
      <c r="D280">
        <v>455000</v>
      </c>
      <c r="E280" t="str">
        <f>"0455000"</f>
        <v>0455000</v>
      </c>
      <c r="F280">
        <v>1624832</v>
      </c>
      <c r="G280" t="s">
        <v>13</v>
      </c>
      <c r="H280">
        <v>2020</v>
      </c>
      <c r="I280" t="s">
        <v>14</v>
      </c>
      <c r="J280" t="s">
        <v>15</v>
      </c>
    </row>
    <row r="281" spans="1:10" x14ac:dyDescent="0.25">
      <c r="A281" t="s">
        <v>10</v>
      </c>
      <c r="B281" t="s">
        <v>293</v>
      </c>
      <c r="C281" t="s">
        <v>12</v>
      </c>
      <c r="D281">
        <v>455210</v>
      </c>
      <c r="E281" t="str">
        <f>"0455210"</f>
        <v>0455210</v>
      </c>
      <c r="F281">
        <v>320</v>
      </c>
      <c r="G281" t="s">
        <v>13</v>
      </c>
      <c r="H281">
        <v>2020</v>
      </c>
      <c r="I281" t="s">
        <v>14</v>
      </c>
      <c r="J281" t="s">
        <v>15</v>
      </c>
    </row>
    <row r="282" spans="1:10" x14ac:dyDescent="0.25">
      <c r="A282" t="s">
        <v>10</v>
      </c>
      <c r="B282" t="s">
        <v>294</v>
      </c>
      <c r="C282" t="s">
        <v>12</v>
      </c>
      <c r="D282">
        <v>455300</v>
      </c>
      <c r="E282" t="str">
        <f>"0455300"</f>
        <v>0455300</v>
      </c>
      <c r="F282">
        <v>9665</v>
      </c>
      <c r="G282" t="s">
        <v>13</v>
      </c>
      <c r="H282">
        <v>2020</v>
      </c>
      <c r="I282" t="s">
        <v>14</v>
      </c>
      <c r="J282" t="s">
        <v>15</v>
      </c>
    </row>
    <row r="283" spans="1:10" x14ac:dyDescent="0.25">
      <c r="A283" t="s">
        <v>10</v>
      </c>
      <c r="B283" t="s">
        <v>295</v>
      </c>
      <c r="C283" t="s">
        <v>12</v>
      </c>
      <c r="D283">
        <v>455560</v>
      </c>
      <c r="E283" t="str">
        <f>"0455560"</f>
        <v>0455560</v>
      </c>
      <c r="F283">
        <v>2910</v>
      </c>
      <c r="G283" t="s">
        <v>13</v>
      </c>
      <c r="H283">
        <v>2020</v>
      </c>
      <c r="I283" t="s">
        <v>14</v>
      </c>
      <c r="J283" t="s">
        <v>15</v>
      </c>
    </row>
    <row r="284" spans="1:10" x14ac:dyDescent="0.25">
      <c r="A284" t="s">
        <v>10</v>
      </c>
      <c r="B284" t="s">
        <v>296</v>
      </c>
      <c r="C284" t="s">
        <v>12</v>
      </c>
      <c r="D284">
        <v>455630</v>
      </c>
      <c r="E284" t="str">
        <f>"0455630"</f>
        <v>0455630</v>
      </c>
      <c r="F284">
        <v>432</v>
      </c>
      <c r="G284" t="s">
        <v>13</v>
      </c>
      <c r="H284">
        <v>2020</v>
      </c>
      <c r="I284" t="s">
        <v>14</v>
      </c>
      <c r="J284" t="s">
        <v>15</v>
      </c>
    </row>
    <row r="285" spans="1:10" x14ac:dyDescent="0.25">
      <c r="A285" t="s">
        <v>10</v>
      </c>
      <c r="B285" t="s">
        <v>297</v>
      </c>
      <c r="C285" t="s">
        <v>12</v>
      </c>
      <c r="D285">
        <v>455700</v>
      </c>
      <c r="E285" t="str">
        <f>"0455700"</f>
        <v>0455700</v>
      </c>
      <c r="F285">
        <v>1899</v>
      </c>
      <c r="G285" t="s">
        <v>13</v>
      </c>
      <c r="H285">
        <v>2020</v>
      </c>
      <c r="I285" t="s">
        <v>14</v>
      </c>
      <c r="J285" t="s">
        <v>15</v>
      </c>
    </row>
    <row r="286" spans="1:10" x14ac:dyDescent="0.25">
      <c r="A286" t="s">
        <v>10</v>
      </c>
      <c r="B286" t="s">
        <v>298</v>
      </c>
      <c r="C286" t="s">
        <v>12</v>
      </c>
      <c r="D286">
        <v>455840</v>
      </c>
      <c r="E286" t="str">
        <f>"0455840"</f>
        <v>0455840</v>
      </c>
      <c r="F286">
        <v>552</v>
      </c>
      <c r="G286" t="s">
        <v>13</v>
      </c>
      <c r="H286">
        <v>2020</v>
      </c>
      <c r="I286" t="s">
        <v>14</v>
      </c>
      <c r="J286" t="s">
        <v>15</v>
      </c>
    </row>
    <row r="287" spans="1:10" x14ac:dyDescent="0.25">
      <c r="A287" t="s">
        <v>10</v>
      </c>
      <c r="B287" t="s">
        <v>299</v>
      </c>
      <c r="C287" t="s">
        <v>12</v>
      </c>
      <c r="D287">
        <v>455845</v>
      </c>
      <c r="E287" t="str">
        <f>"0455845"</f>
        <v>0455845</v>
      </c>
      <c r="F287">
        <v>32</v>
      </c>
      <c r="G287" t="s">
        <v>13</v>
      </c>
      <c r="H287">
        <v>2020</v>
      </c>
      <c r="I287" t="s">
        <v>14</v>
      </c>
      <c r="J287" t="s">
        <v>15</v>
      </c>
    </row>
    <row r="288" spans="1:10" x14ac:dyDescent="0.25">
      <c r="A288" t="s">
        <v>10</v>
      </c>
      <c r="B288" t="s">
        <v>300</v>
      </c>
      <c r="C288" t="s">
        <v>12</v>
      </c>
      <c r="D288">
        <v>455880</v>
      </c>
      <c r="E288" t="str">
        <f>"0455880"</f>
        <v>0455880</v>
      </c>
      <c r="F288">
        <v>1915</v>
      </c>
      <c r="G288" t="s">
        <v>13</v>
      </c>
      <c r="H288">
        <v>2020</v>
      </c>
      <c r="I288" t="s">
        <v>14</v>
      </c>
      <c r="J288" t="s">
        <v>15</v>
      </c>
    </row>
    <row r="289" spans="1:10" x14ac:dyDescent="0.25">
      <c r="A289" t="s">
        <v>10</v>
      </c>
      <c r="B289" t="s">
        <v>301</v>
      </c>
      <c r="C289" t="s">
        <v>12</v>
      </c>
      <c r="D289">
        <v>455980</v>
      </c>
      <c r="E289" t="str">
        <f>"0455980"</f>
        <v>0455980</v>
      </c>
      <c r="F289">
        <v>4103</v>
      </c>
      <c r="G289" t="s">
        <v>13</v>
      </c>
      <c r="H289">
        <v>2020</v>
      </c>
      <c r="I289" t="s">
        <v>14</v>
      </c>
      <c r="J289" t="s">
        <v>15</v>
      </c>
    </row>
    <row r="290" spans="1:10" x14ac:dyDescent="0.25">
      <c r="A290" t="s">
        <v>10</v>
      </c>
      <c r="B290" t="s">
        <v>302</v>
      </c>
      <c r="C290" t="s">
        <v>12</v>
      </c>
      <c r="D290">
        <v>455983</v>
      </c>
      <c r="E290" t="str">
        <f>"0455983"</f>
        <v>0455983</v>
      </c>
      <c r="F290">
        <v>154</v>
      </c>
      <c r="G290" t="s">
        <v>13</v>
      </c>
      <c r="H290">
        <v>2020</v>
      </c>
      <c r="I290" t="s">
        <v>14</v>
      </c>
      <c r="J290" t="s">
        <v>15</v>
      </c>
    </row>
    <row r="291" spans="1:10" x14ac:dyDescent="0.25">
      <c r="A291" t="s">
        <v>10</v>
      </c>
      <c r="B291" t="s">
        <v>303</v>
      </c>
      <c r="C291" t="s">
        <v>12</v>
      </c>
      <c r="D291">
        <v>456120</v>
      </c>
      <c r="E291" t="str">
        <f>"0456120"</f>
        <v>0456120</v>
      </c>
      <c r="F291">
        <v>1183</v>
      </c>
      <c r="G291" t="s">
        <v>13</v>
      </c>
      <c r="H291">
        <v>2020</v>
      </c>
      <c r="I291" t="s">
        <v>14</v>
      </c>
      <c r="J291" t="s">
        <v>15</v>
      </c>
    </row>
    <row r="292" spans="1:10" x14ac:dyDescent="0.25">
      <c r="A292" t="s">
        <v>10</v>
      </c>
      <c r="B292" t="s">
        <v>304</v>
      </c>
      <c r="C292" t="s">
        <v>12</v>
      </c>
      <c r="D292">
        <v>456400</v>
      </c>
      <c r="E292" t="str">
        <f>"0456400"</f>
        <v>0456400</v>
      </c>
      <c r="F292">
        <v>1869</v>
      </c>
      <c r="G292" t="s">
        <v>13</v>
      </c>
      <c r="H292">
        <v>2020</v>
      </c>
      <c r="I292" t="s">
        <v>14</v>
      </c>
      <c r="J292" t="s">
        <v>15</v>
      </c>
    </row>
    <row r="293" spans="1:10" x14ac:dyDescent="0.25">
      <c r="A293" t="s">
        <v>10</v>
      </c>
      <c r="B293" t="s">
        <v>305</v>
      </c>
      <c r="C293" t="s">
        <v>12</v>
      </c>
      <c r="D293">
        <v>456470</v>
      </c>
      <c r="E293" t="str">
        <f>"0456470"</f>
        <v>0456470</v>
      </c>
      <c r="F293">
        <v>357</v>
      </c>
      <c r="G293" t="s">
        <v>13</v>
      </c>
      <c r="H293">
        <v>2020</v>
      </c>
      <c r="I293" t="s">
        <v>14</v>
      </c>
      <c r="J293" t="s">
        <v>15</v>
      </c>
    </row>
    <row r="294" spans="1:10" x14ac:dyDescent="0.25">
      <c r="A294" t="s">
        <v>10</v>
      </c>
      <c r="B294" t="s">
        <v>306</v>
      </c>
      <c r="C294" t="s">
        <v>12</v>
      </c>
      <c r="D294">
        <v>457170</v>
      </c>
      <c r="E294" t="str">
        <f>"0457170"</f>
        <v>0457170</v>
      </c>
      <c r="F294">
        <v>168</v>
      </c>
      <c r="G294" t="s">
        <v>13</v>
      </c>
      <c r="H294">
        <v>2020</v>
      </c>
      <c r="I294" t="s">
        <v>14</v>
      </c>
      <c r="J294" t="s">
        <v>15</v>
      </c>
    </row>
    <row r="295" spans="1:10" x14ac:dyDescent="0.25">
      <c r="A295" t="s">
        <v>10</v>
      </c>
      <c r="B295" t="s">
        <v>307</v>
      </c>
      <c r="C295" t="s">
        <v>12</v>
      </c>
      <c r="D295">
        <v>457380</v>
      </c>
      <c r="E295" t="str">
        <f>"0457380"</f>
        <v>0457380</v>
      </c>
      <c r="F295">
        <v>46744</v>
      </c>
      <c r="G295" t="s">
        <v>13</v>
      </c>
      <c r="H295">
        <v>2020</v>
      </c>
      <c r="I295" t="s">
        <v>14</v>
      </c>
      <c r="J295" t="s">
        <v>15</v>
      </c>
    </row>
    <row r="296" spans="1:10" x14ac:dyDescent="0.25">
      <c r="A296" t="s">
        <v>10</v>
      </c>
      <c r="B296" t="s">
        <v>308</v>
      </c>
      <c r="C296" t="s">
        <v>12</v>
      </c>
      <c r="D296">
        <v>457450</v>
      </c>
      <c r="E296" t="str">
        <f>"0457450"</f>
        <v>0457450</v>
      </c>
      <c r="F296">
        <v>48048</v>
      </c>
      <c r="G296" t="s">
        <v>13</v>
      </c>
      <c r="H296">
        <v>2020</v>
      </c>
      <c r="I296" t="s">
        <v>14</v>
      </c>
      <c r="J296" t="s">
        <v>15</v>
      </c>
    </row>
    <row r="297" spans="1:10" x14ac:dyDescent="0.25">
      <c r="A297" t="s">
        <v>10</v>
      </c>
      <c r="B297" t="s">
        <v>309</v>
      </c>
      <c r="C297" t="s">
        <v>12</v>
      </c>
      <c r="D297">
        <v>458010</v>
      </c>
      <c r="E297" t="str">
        <f>"0458010"</f>
        <v>0458010</v>
      </c>
      <c r="F297">
        <v>1805</v>
      </c>
      <c r="G297" t="s">
        <v>13</v>
      </c>
      <c r="H297">
        <v>2020</v>
      </c>
      <c r="I297" t="s">
        <v>14</v>
      </c>
      <c r="J297" t="s">
        <v>15</v>
      </c>
    </row>
    <row r="298" spans="1:10" x14ac:dyDescent="0.25">
      <c r="A298" t="s">
        <v>10</v>
      </c>
      <c r="B298" t="s">
        <v>310</v>
      </c>
      <c r="C298" t="s">
        <v>12</v>
      </c>
      <c r="D298">
        <v>458150</v>
      </c>
      <c r="E298" t="str">
        <f>"0458150"</f>
        <v>0458150</v>
      </c>
      <c r="F298">
        <v>66369</v>
      </c>
      <c r="G298" t="s">
        <v>13</v>
      </c>
      <c r="H298">
        <v>2020</v>
      </c>
      <c r="I298" t="s">
        <v>14</v>
      </c>
      <c r="J298" t="s">
        <v>15</v>
      </c>
    </row>
    <row r="299" spans="1:10" x14ac:dyDescent="0.25">
      <c r="A299" t="s">
        <v>10</v>
      </c>
      <c r="B299" t="s">
        <v>311</v>
      </c>
      <c r="C299" t="s">
        <v>12</v>
      </c>
      <c r="D299">
        <v>458290</v>
      </c>
      <c r="E299" t="str">
        <f>"0458290"</f>
        <v>0458290</v>
      </c>
      <c r="F299">
        <v>799</v>
      </c>
      <c r="G299" t="s">
        <v>13</v>
      </c>
      <c r="H299">
        <v>2020</v>
      </c>
      <c r="I299" t="s">
        <v>14</v>
      </c>
      <c r="J299" t="s">
        <v>15</v>
      </c>
    </row>
    <row r="300" spans="1:10" x14ac:dyDescent="0.25">
      <c r="A300" t="s">
        <v>10</v>
      </c>
      <c r="B300" t="s">
        <v>312</v>
      </c>
      <c r="C300" t="s">
        <v>12</v>
      </c>
      <c r="D300">
        <v>458620</v>
      </c>
      <c r="E300" t="str">
        <f>"0458620"</f>
        <v>0458620</v>
      </c>
      <c r="F300">
        <v>901</v>
      </c>
      <c r="G300" t="s">
        <v>13</v>
      </c>
      <c r="H300">
        <v>2020</v>
      </c>
      <c r="I300" t="s">
        <v>14</v>
      </c>
      <c r="J300" t="s">
        <v>15</v>
      </c>
    </row>
    <row r="301" spans="1:10" x14ac:dyDescent="0.25">
      <c r="A301" t="s">
        <v>10</v>
      </c>
      <c r="B301" t="s">
        <v>313</v>
      </c>
      <c r="C301" t="s">
        <v>12</v>
      </c>
      <c r="D301">
        <v>458870</v>
      </c>
      <c r="E301" t="str">
        <f>"0458870"</f>
        <v>0458870</v>
      </c>
      <c r="F301">
        <v>470</v>
      </c>
      <c r="G301" t="s">
        <v>13</v>
      </c>
      <c r="H301">
        <v>2020</v>
      </c>
      <c r="I301" t="s">
        <v>14</v>
      </c>
      <c r="J301" t="s">
        <v>15</v>
      </c>
    </row>
    <row r="302" spans="1:10" x14ac:dyDescent="0.25">
      <c r="A302" t="s">
        <v>10</v>
      </c>
      <c r="B302" t="s">
        <v>314</v>
      </c>
      <c r="C302" t="s">
        <v>12</v>
      </c>
      <c r="D302">
        <v>459372</v>
      </c>
      <c r="E302" t="str">
        <f>"0459372"</f>
        <v>0459372</v>
      </c>
      <c r="F302">
        <v>1764</v>
      </c>
      <c r="G302" t="s">
        <v>13</v>
      </c>
      <c r="H302">
        <v>2020</v>
      </c>
      <c r="I302" t="s">
        <v>14</v>
      </c>
      <c r="J302" t="s">
        <v>15</v>
      </c>
    </row>
    <row r="303" spans="1:10" x14ac:dyDescent="0.25">
      <c r="A303" t="s">
        <v>10</v>
      </c>
      <c r="B303" t="s">
        <v>315</v>
      </c>
      <c r="C303" t="s">
        <v>12</v>
      </c>
      <c r="D303">
        <v>459550</v>
      </c>
      <c r="E303" t="str">
        <f>"0459550"</f>
        <v>0459550</v>
      </c>
      <c r="F303">
        <v>470</v>
      </c>
      <c r="G303" t="s">
        <v>13</v>
      </c>
      <c r="H303">
        <v>2020</v>
      </c>
      <c r="I303" t="s">
        <v>14</v>
      </c>
      <c r="J303" t="s">
        <v>15</v>
      </c>
    </row>
    <row r="304" spans="1:10" x14ac:dyDescent="0.25">
      <c r="A304" t="s">
        <v>10</v>
      </c>
      <c r="B304" t="s">
        <v>316</v>
      </c>
      <c r="C304" t="s">
        <v>12</v>
      </c>
      <c r="D304">
        <v>459690</v>
      </c>
      <c r="E304" t="str">
        <f>"0459690"</f>
        <v>0459690</v>
      </c>
      <c r="F304">
        <v>76</v>
      </c>
      <c r="G304" t="s">
        <v>13</v>
      </c>
      <c r="H304">
        <v>2020</v>
      </c>
      <c r="I304" t="s">
        <v>14</v>
      </c>
      <c r="J304" t="s">
        <v>15</v>
      </c>
    </row>
    <row r="305" spans="1:10" x14ac:dyDescent="0.25">
      <c r="A305" t="s">
        <v>10</v>
      </c>
      <c r="B305" t="s">
        <v>316</v>
      </c>
      <c r="C305" t="s">
        <v>12</v>
      </c>
      <c r="D305">
        <v>459760</v>
      </c>
      <c r="E305" t="str">
        <f>"0459760"</f>
        <v>0459760</v>
      </c>
      <c r="F305">
        <v>3243</v>
      </c>
      <c r="G305" t="s">
        <v>13</v>
      </c>
      <c r="H305">
        <v>2020</v>
      </c>
      <c r="I305" t="s">
        <v>14</v>
      </c>
      <c r="J305" t="s">
        <v>15</v>
      </c>
    </row>
    <row r="306" spans="1:10" x14ac:dyDescent="0.25">
      <c r="A306" t="s">
        <v>10</v>
      </c>
      <c r="B306" t="s">
        <v>317</v>
      </c>
      <c r="C306" t="s">
        <v>12</v>
      </c>
      <c r="D306">
        <v>459900</v>
      </c>
      <c r="E306" t="str">
        <f>"0459900"</f>
        <v>0459900</v>
      </c>
      <c r="F306">
        <v>0</v>
      </c>
      <c r="G306" t="s">
        <v>13</v>
      </c>
      <c r="H306">
        <v>2020</v>
      </c>
      <c r="I306" t="s">
        <v>14</v>
      </c>
      <c r="J306" t="s">
        <v>15</v>
      </c>
    </row>
    <row r="307" spans="1:10" x14ac:dyDescent="0.25">
      <c r="A307" t="s">
        <v>10</v>
      </c>
      <c r="B307" t="s">
        <v>318</v>
      </c>
      <c r="C307" t="s">
        <v>12</v>
      </c>
      <c r="D307">
        <v>460120</v>
      </c>
      <c r="E307" t="str">
        <f>"0460120"</f>
        <v>0460120</v>
      </c>
      <c r="F307">
        <v>5851</v>
      </c>
      <c r="G307" t="s">
        <v>13</v>
      </c>
      <c r="H307">
        <v>2020</v>
      </c>
      <c r="I307" t="s">
        <v>14</v>
      </c>
      <c r="J307" t="s">
        <v>15</v>
      </c>
    </row>
    <row r="308" spans="1:10" x14ac:dyDescent="0.25">
      <c r="A308" t="s">
        <v>10</v>
      </c>
      <c r="B308" t="s">
        <v>319</v>
      </c>
      <c r="C308" t="s">
        <v>12</v>
      </c>
      <c r="D308">
        <v>460180</v>
      </c>
      <c r="E308" t="str">
        <f>"0460180"</f>
        <v>0460180</v>
      </c>
      <c r="F308">
        <v>21798</v>
      </c>
      <c r="G308" t="s">
        <v>13</v>
      </c>
      <c r="H308">
        <v>2020</v>
      </c>
      <c r="I308" t="s">
        <v>14</v>
      </c>
      <c r="J308" t="s">
        <v>15</v>
      </c>
    </row>
    <row r="309" spans="1:10" x14ac:dyDescent="0.25">
      <c r="A309" t="s">
        <v>10</v>
      </c>
      <c r="B309" t="s">
        <v>320</v>
      </c>
      <c r="C309" t="s">
        <v>12</v>
      </c>
      <c r="D309">
        <v>460250</v>
      </c>
      <c r="E309" t="str">
        <f>"0460250"</f>
        <v>0460250</v>
      </c>
      <c r="F309">
        <v>2271</v>
      </c>
      <c r="G309" t="s">
        <v>13</v>
      </c>
      <c r="H309">
        <v>2020</v>
      </c>
      <c r="I309" t="s">
        <v>14</v>
      </c>
      <c r="J309" t="s">
        <v>15</v>
      </c>
    </row>
    <row r="310" spans="1:10" x14ac:dyDescent="0.25">
      <c r="A310" t="s">
        <v>10</v>
      </c>
      <c r="B310" t="s">
        <v>321</v>
      </c>
      <c r="C310" t="s">
        <v>12</v>
      </c>
      <c r="D310">
        <v>460770</v>
      </c>
      <c r="E310" t="str">
        <f>"0460770"</f>
        <v>0460770</v>
      </c>
      <c r="F310">
        <v>8</v>
      </c>
      <c r="G310" t="s">
        <v>13</v>
      </c>
      <c r="H310">
        <v>2020</v>
      </c>
      <c r="I310" t="s">
        <v>14</v>
      </c>
      <c r="J310" t="s">
        <v>15</v>
      </c>
    </row>
    <row r="311" spans="1:10" x14ac:dyDescent="0.25">
      <c r="A311" t="s">
        <v>10</v>
      </c>
      <c r="B311" t="s">
        <v>322</v>
      </c>
      <c r="C311" t="s">
        <v>12</v>
      </c>
      <c r="D311">
        <v>460880</v>
      </c>
      <c r="E311" t="str">
        <f>"0460880"</f>
        <v>0460880</v>
      </c>
      <c r="F311">
        <v>405</v>
      </c>
      <c r="G311" t="s">
        <v>13</v>
      </c>
      <c r="H311">
        <v>2020</v>
      </c>
      <c r="I311" t="s">
        <v>14</v>
      </c>
      <c r="J311" t="s">
        <v>15</v>
      </c>
    </row>
    <row r="312" spans="1:10" x14ac:dyDescent="0.25">
      <c r="A312" t="s">
        <v>10</v>
      </c>
      <c r="B312" t="s">
        <v>323</v>
      </c>
      <c r="C312" t="s">
        <v>12</v>
      </c>
      <c r="D312">
        <v>461300</v>
      </c>
      <c r="E312" t="str">
        <f>"0461300"</f>
        <v>0461300</v>
      </c>
      <c r="F312">
        <v>0</v>
      </c>
      <c r="G312" t="s">
        <v>13</v>
      </c>
      <c r="H312">
        <v>2020</v>
      </c>
      <c r="I312" t="s">
        <v>14</v>
      </c>
      <c r="J312" t="s">
        <v>15</v>
      </c>
    </row>
    <row r="313" spans="1:10" x14ac:dyDescent="0.25">
      <c r="A313" t="s">
        <v>10</v>
      </c>
      <c r="B313" t="s">
        <v>324</v>
      </c>
      <c r="C313" t="s">
        <v>12</v>
      </c>
      <c r="D313">
        <v>461302</v>
      </c>
      <c r="E313" t="str">
        <f>"0461302"</f>
        <v>0461302</v>
      </c>
      <c r="F313">
        <v>654</v>
      </c>
      <c r="G313" t="s">
        <v>13</v>
      </c>
      <c r="H313">
        <v>2020</v>
      </c>
      <c r="I313" t="s">
        <v>14</v>
      </c>
      <c r="J313" t="s">
        <v>15</v>
      </c>
    </row>
    <row r="314" spans="1:10" x14ac:dyDescent="0.25">
      <c r="A314" t="s">
        <v>10</v>
      </c>
      <c r="B314" t="s">
        <v>325</v>
      </c>
      <c r="C314" t="s">
        <v>12</v>
      </c>
      <c r="D314">
        <v>461370</v>
      </c>
      <c r="E314" t="str">
        <f>"0461370"</f>
        <v>0461370</v>
      </c>
      <c r="F314">
        <v>452</v>
      </c>
      <c r="G314" t="s">
        <v>13</v>
      </c>
      <c r="H314">
        <v>2020</v>
      </c>
      <c r="I314" t="s">
        <v>14</v>
      </c>
      <c r="J314" t="s">
        <v>15</v>
      </c>
    </row>
    <row r="315" spans="1:10" x14ac:dyDescent="0.25">
      <c r="A315" t="s">
        <v>10</v>
      </c>
      <c r="B315" t="s">
        <v>326</v>
      </c>
      <c r="C315" t="s">
        <v>12</v>
      </c>
      <c r="D315">
        <v>461440</v>
      </c>
      <c r="E315" t="str">
        <f>"0461440"</f>
        <v>0461440</v>
      </c>
      <c r="F315">
        <v>543</v>
      </c>
      <c r="G315" t="s">
        <v>13</v>
      </c>
      <c r="H315">
        <v>2020</v>
      </c>
      <c r="I315" t="s">
        <v>14</v>
      </c>
      <c r="J315" t="s">
        <v>15</v>
      </c>
    </row>
    <row r="316" spans="1:10" x14ac:dyDescent="0.25">
      <c r="A316" t="s">
        <v>10</v>
      </c>
      <c r="B316" t="s">
        <v>327</v>
      </c>
      <c r="C316" t="s">
        <v>12</v>
      </c>
      <c r="D316">
        <v>461448</v>
      </c>
      <c r="E316" t="str">
        <f>"0461448"</f>
        <v>0461448</v>
      </c>
      <c r="F316">
        <v>503</v>
      </c>
      <c r="G316" t="s">
        <v>13</v>
      </c>
      <c r="H316">
        <v>2020</v>
      </c>
      <c r="I316" t="s">
        <v>14</v>
      </c>
      <c r="J316" t="s">
        <v>15</v>
      </c>
    </row>
    <row r="317" spans="1:10" x14ac:dyDescent="0.25">
      <c r="A317" t="s">
        <v>10</v>
      </c>
      <c r="B317" t="s">
        <v>328</v>
      </c>
      <c r="C317" t="s">
        <v>12</v>
      </c>
      <c r="D317">
        <v>461690</v>
      </c>
      <c r="E317" t="str">
        <f>"0461690"</f>
        <v>0461690</v>
      </c>
      <c r="F317">
        <v>22</v>
      </c>
      <c r="G317" t="s">
        <v>13</v>
      </c>
      <c r="H317">
        <v>2020</v>
      </c>
      <c r="I317" t="s">
        <v>14</v>
      </c>
      <c r="J317" t="s">
        <v>15</v>
      </c>
    </row>
    <row r="318" spans="1:10" x14ac:dyDescent="0.25">
      <c r="A318" t="s">
        <v>10</v>
      </c>
      <c r="B318" t="s">
        <v>329</v>
      </c>
      <c r="C318" t="s">
        <v>12</v>
      </c>
      <c r="D318">
        <v>461715</v>
      </c>
      <c r="E318" t="str">
        <f>"0461715"</f>
        <v>0461715</v>
      </c>
      <c r="F318">
        <v>279</v>
      </c>
      <c r="G318" t="s">
        <v>13</v>
      </c>
      <c r="H318">
        <v>2020</v>
      </c>
      <c r="I318" t="s">
        <v>14</v>
      </c>
      <c r="J318" t="s">
        <v>15</v>
      </c>
    </row>
    <row r="319" spans="1:10" x14ac:dyDescent="0.25">
      <c r="A319" t="s">
        <v>10</v>
      </c>
      <c r="B319" t="s">
        <v>330</v>
      </c>
      <c r="C319" t="s">
        <v>12</v>
      </c>
      <c r="D319">
        <v>461720</v>
      </c>
      <c r="E319" t="str">
        <f>"0461720"</f>
        <v>0461720</v>
      </c>
      <c r="F319">
        <v>2999</v>
      </c>
      <c r="G319" t="s">
        <v>13</v>
      </c>
      <c r="H319">
        <v>2020</v>
      </c>
      <c r="I319" t="s">
        <v>14</v>
      </c>
      <c r="J319" t="s">
        <v>15</v>
      </c>
    </row>
    <row r="320" spans="1:10" x14ac:dyDescent="0.25">
      <c r="A320" t="s">
        <v>10</v>
      </c>
      <c r="B320" t="s">
        <v>331</v>
      </c>
      <c r="C320" t="s">
        <v>12</v>
      </c>
      <c r="D320">
        <v>461800</v>
      </c>
      <c r="E320" t="str">
        <f>"0461800"</f>
        <v>0461800</v>
      </c>
      <c r="F320">
        <v>450</v>
      </c>
      <c r="G320" t="s">
        <v>13</v>
      </c>
      <c r="H320">
        <v>2020</v>
      </c>
      <c r="I320" t="s">
        <v>14</v>
      </c>
      <c r="J320" t="s">
        <v>15</v>
      </c>
    </row>
    <row r="321" spans="1:10" x14ac:dyDescent="0.25">
      <c r="A321" t="s">
        <v>10</v>
      </c>
      <c r="B321" t="s">
        <v>332</v>
      </c>
      <c r="C321" t="s">
        <v>12</v>
      </c>
      <c r="D321">
        <v>461940</v>
      </c>
      <c r="E321" t="str">
        <f>"0461940"</f>
        <v>0461940</v>
      </c>
      <c r="F321">
        <v>12616</v>
      </c>
      <c r="G321" t="s">
        <v>13</v>
      </c>
      <c r="H321">
        <v>2020</v>
      </c>
      <c r="I321" t="s">
        <v>14</v>
      </c>
      <c r="J321" t="s">
        <v>15</v>
      </c>
    </row>
    <row r="322" spans="1:10" x14ac:dyDescent="0.25">
      <c r="A322" t="s">
        <v>10</v>
      </c>
      <c r="B322" t="s">
        <v>333</v>
      </c>
      <c r="C322" t="s">
        <v>12</v>
      </c>
      <c r="D322">
        <v>462000</v>
      </c>
      <c r="E322" t="str">
        <f>"0462000"</f>
        <v>0462000</v>
      </c>
      <c r="F322">
        <v>10217</v>
      </c>
      <c r="G322" t="s">
        <v>13</v>
      </c>
      <c r="H322">
        <v>2020</v>
      </c>
      <c r="I322" t="s">
        <v>14</v>
      </c>
      <c r="J322" t="s">
        <v>15</v>
      </c>
    </row>
    <row r="323" spans="1:10" x14ac:dyDescent="0.25">
      <c r="A323" t="s">
        <v>10</v>
      </c>
      <c r="B323" t="s">
        <v>334</v>
      </c>
      <c r="C323" t="s">
        <v>12</v>
      </c>
      <c r="D323">
        <v>462140</v>
      </c>
      <c r="E323" t="str">
        <f>"0462140"</f>
        <v>0462140</v>
      </c>
      <c r="F323">
        <v>35012</v>
      </c>
      <c r="G323" t="s">
        <v>13</v>
      </c>
      <c r="H323">
        <v>2020</v>
      </c>
      <c r="I323" t="s">
        <v>14</v>
      </c>
      <c r="J323" t="s">
        <v>15</v>
      </c>
    </row>
    <row r="324" spans="1:10" x14ac:dyDescent="0.25">
      <c r="A324" t="s">
        <v>10</v>
      </c>
      <c r="B324" t="s">
        <v>335</v>
      </c>
      <c r="C324" t="s">
        <v>12</v>
      </c>
      <c r="D324">
        <v>462280</v>
      </c>
      <c r="E324" t="str">
        <f>"0462280"</f>
        <v>0462280</v>
      </c>
      <c r="F324">
        <v>1112</v>
      </c>
      <c r="G324" t="s">
        <v>13</v>
      </c>
      <c r="H324">
        <v>2020</v>
      </c>
      <c r="I324" t="s">
        <v>14</v>
      </c>
      <c r="J324" t="s">
        <v>15</v>
      </c>
    </row>
    <row r="325" spans="1:10" x14ac:dyDescent="0.25">
      <c r="A325" t="s">
        <v>10</v>
      </c>
      <c r="B325" t="s">
        <v>336</v>
      </c>
      <c r="C325" t="s">
        <v>12</v>
      </c>
      <c r="D325">
        <v>462350</v>
      </c>
      <c r="E325" t="str">
        <f>"0462350"</f>
        <v>0462350</v>
      </c>
      <c r="F325">
        <v>3409</v>
      </c>
      <c r="G325" t="s">
        <v>13</v>
      </c>
      <c r="H325">
        <v>2020</v>
      </c>
      <c r="I325" t="s">
        <v>14</v>
      </c>
      <c r="J325" t="s">
        <v>15</v>
      </c>
    </row>
    <row r="326" spans="1:10" x14ac:dyDescent="0.25">
      <c r="A326" t="s">
        <v>10</v>
      </c>
      <c r="B326" t="s">
        <v>336</v>
      </c>
      <c r="C326" t="s">
        <v>12</v>
      </c>
      <c r="D326">
        <v>462362</v>
      </c>
      <c r="E326" t="str">
        <f>"0462362"</f>
        <v>0462362</v>
      </c>
      <c r="F326">
        <v>596</v>
      </c>
      <c r="G326" t="s">
        <v>13</v>
      </c>
      <c r="H326">
        <v>2020</v>
      </c>
      <c r="I326" t="s">
        <v>14</v>
      </c>
      <c r="J326" t="s">
        <v>15</v>
      </c>
    </row>
    <row r="327" spans="1:10" x14ac:dyDescent="0.25">
      <c r="A327" t="s">
        <v>10</v>
      </c>
      <c r="B327" t="s">
        <v>337</v>
      </c>
      <c r="C327" t="s">
        <v>12</v>
      </c>
      <c r="D327">
        <v>462420</v>
      </c>
      <c r="E327" t="str">
        <f>"0462420"</f>
        <v>0462420</v>
      </c>
      <c r="F327">
        <v>888</v>
      </c>
      <c r="G327" t="s">
        <v>13</v>
      </c>
      <c r="H327">
        <v>2020</v>
      </c>
      <c r="I327" t="s">
        <v>14</v>
      </c>
      <c r="J327" t="s">
        <v>15</v>
      </c>
    </row>
    <row r="328" spans="1:10" x14ac:dyDescent="0.25">
      <c r="A328" t="s">
        <v>10</v>
      </c>
      <c r="B328" t="s">
        <v>338</v>
      </c>
      <c r="C328" t="s">
        <v>12</v>
      </c>
      <c r="D328">
        <v>462700</v>
      </c>
      <c r="E328" t="str">
        <f>"0462700"</f>
        <v>0462700</v>
      </c>
      <c r="F328">
        <v>731</v>
      </c>
      <c r="G328" t="s">
        <v>13</v>
      </c>
      <c r="H328">
        <v>2020</v>
      </c>
      <c r="I328" t="s">
        <v>14</v>
      </c>
      <c r="J328" t="s">
        <v>15</v>
      </c>
    </row>
    <row r="329" spans="1:10" x14ac:dyDescent="0.25">
      <c r="A329" t="s">
        <v>10</v>
      </c>
      <c r="B329" t="s">
        <v>339</v>
      </c>
      <c r="C329" t="s">
        <v>12</v>
      </c>
      <c r="D329">
        <v>462910</v>
      </c>
      <c r="E329" t="str">
        <f>"0462910"</f>
        <v>0462910</v>
      </c>
      <c r="F329">
        <v>4769</v>
      </c>
      <c r="G329" t="s">
        <v>13</v>
      </c>
      <c r="H329">
        <v>2020</v>
      </c>
      <c r="I329" t="s">
        <v>14</v>
      </c>
      <c r="J329" t="s">
        <v>15</v>
      </c>
    </row>
    <row r="330" spans="1:10" x14ac:dyDescent="0.25">
      <c r="A330" t="s">
        <v>10</v>
      </c>
      <c r="B330" t="s">
        <v>340</v>
      </c>
      <c r="C330" t="s">
        <v>12</v>
      </c>
      <c r="D330">
        <v>463050</v>
      </c>
      <c r="E330" t="str">
        <f>"0463050"</f>
        <v>0463050</v>
      </c>
      <c r="F330">
        <v>738</v>
      </c>
      <c r="G330" t="s">
        <v>13</v>
      </c>
      <c r="H330">
        <v>2020</v>
      </c>
      <c r="I330" t="s">
        <v>14</v>
      </c>
      <c r="J330" t="s">
        <v>15</v>
      </c>
    </row>
    <row r="331" spans="1:10" x14ac:dyDescent="0.25">
      <c r="A331" t="s">
        <v>10</v>
      </c>
      <c r="B331" t="s">
        <v>341</v>
      </c>
      <c r="C331" t="s">
        <v>12</v>
      </c>
      <c r="D331">
        <v>463260</v>
      </c>
      <c r="E331" t="str">
        <f>"0463260"</f>
        <v>0463260</v>
      </c>
      <c r="F331">
        <v>560</v>
      </c>
      <c r="G331" t="s">
        <v>13</v>
      </c>
      <c r="H331">
        <v>2020</v>
      </c>
      <c r="I331" t="s">
        <v>14</v>
      </c>
      <c r="J331" t="s">
        <v>15</v>
      </c>
    </row>
    <row r="332" spans="1:10" x14ac:dyDescent="0.25">
      <c r="A332" t="s">
        <v>10</v>
      </c>
      <c r="B332" t="s">
        <v>342</v>
      </c>
      <c r="C332" t="s">
        <v>12</v>
      </c>
      <c r="D332">
        <v>463470</v>
      </c>
      <c r="E332" t="str">
        <f>"0463470"</f>
        <v>0463470</v>
      </c>
      <c r="F332">
        <v>35998</v>
      </c>
      <c r="G332" t="s">
        <v>13</v>
      </c>
      <c r="H332">
        <v>2020</v>
      </c>
      <c r="I332" t="s">
        <v>14</v>
      </c>
      <c r="J332" t="s">
        <v>15</v>
      </c>
    </row>
    <row r="333" spans="1:10" x14ac:dyDescent="0.25">
      <c r="A333" t="s">
        <v>10</v>
      </c>
      <c r="B333" t="s">
        <v>343</v>
      </c>
      <c r="C333" t="s">
        <v>12</v>
      </c>
      <c r="D333">
        <v>463540</v>
      </c>
      <c r="E333" t="str">
        <f>"0463540"</f>
        <v>0463540</v>
      </c>
      <c r="F333">
        <v>3269</v>
      </c>
      <c r="G333" t="s">
        <v>13</v>
      </c>
      <c r="H333">
        <v>2020</v>
      </c>
      <c r="I333" t="s">
        <v>14</v>
      </c>
      <c r="J333" t="s">
        <v>15</v>
      </c>
    </row>
    <row r="334" spans="1:10" x14ac:dyDescent="0.25">
      <c r="A334" t="s">
        <v>10</v>
      </c>
      <c r="B334" t="s">
        <v>344</v>
      </c>
      <c r="C334" t="s">
        <v>12</v>
      </c>
      <c r="D334">
        <v>463610</v>
      </c>
      <c r="E334" t="str">
        <f>"0463610"</f>
        <v>0463610</v>
      </c>
      <c r="F334">
        <v>301</v>
      </c>
      <c r="G334" t="s">
        <v>13</v>
      </c>
      <c r="H334">
        <v>2020</v>
      </c>
      <c r="I334" t="s">
        <v>14</v>
      </c>
      <c r="J334" t="s">
        <v>15</v>
      </c>
    </row>
    <row r="335" spans="1:10" x14ac:dyDescent="0.25">
      <c r="A335" t="s">
        <v>10</v>
      </c>
      <c r="B335" t="s">
        <v>345</v>
      </c>
      <c r="C335" t="s">
        <v>12</v>
      </c>
      <c r="D335">
        <v>463820</v>
      </c>
      <c r="E335" t="str">
        <f>"0463820"</f>
        <v>0463820</v>
      </c>
      <c r="F335">
        <v>253</v>
      </c>
      <c r="G335" t="s">
        <v>13</v>
      </c>
      <c r="H335">
        <v>2020</v>
      </c>
      <c r="I335" t="s">
        <v>14</v>
      </c>
      <c r="J335" t="s">
        <v>15</v>
      </c>
    </row>
    <row r="336" spans="1:10" x14ac:dyDescent="0.25">
      <c r="A336" t="s">
        <v>10</v>
      </c>
      <c r="B336" t="s">
        <v>346</v>
      </c>
      <c r="C336" t="s">
        <v>12</v>
      </c>
      <c r="D336">
        <v>463960</v>
      </c>
      <c r="E336" t="str">
        <f>"0463960"</f>
        <v>0463960</v>
      </c>
      <c r="F336">
        <v>101</v>
      </c>
      <c r="G336" t="s">
        <v>13</v>
      </c>
      <c r="H336">
        <v>2020</v>
      </c>
      <c r="I336" t="s">
        <v>14</v>
      </c>
      <c r="J336" t="s">
        <v>15</v>
      </c>
    </row>
    <row r="337" spans="1:10" x14ac:dyDescent="0.25">
      <c r="A337" t="s">
        <v>10</v>
      </c>
      <c r="B337" t="s">
        <v>347</v>
      </c>
      <c r="C337" t="s">
        <v>12</v>
      </c>
      <c r="D337">
        <v>464210</v>
      </c>
      <c r="E337" t="str">
        <f>"0464210"</f>
        <v>0464210</v>
      </c>
      <c r="F337">
        <v>105231</v>
      </c>
      <c r="G337" t="s">
        <v>13</v>
      </c>
      <c r="H337">
        <v>2020</v>
      </c>
      <c r="I337" t="s">
        <v>14</v>
      </c>
      <c r="J337" t="s">
        <v>15</v>
      </c>
    </row>
    <row r="338" spans="1:10" x14ac:dyDescent="0.25">
      <c r="A338" t="s">
        <v>10</v>
      </c>
      <c r="B338" t="s">
        <v>348</v>
      </c>
      <c r="C338" t="s">
        <v>12</v>
      </c>
      <c r="D338">
        <v>464310</v>
      </c>
      <c r="E338" t="str">
        <f>"0464310"</f>
        <v>0464310</v>
      </c>
      <c r="F338">
        <v>690</v>
      </c>
      <c r="G338" t="s">
        <v>13</v>
      </c>
      <c r="H338">
        <v>2020</v>
      </c>
      <c r="I338" t="s">
        <v>14</v>
      </c>
      <c r="J338" t="s">
        <v>15</v>
      </c>
    </row>
    <row r="339" spans="1:10" x14ac:dyDescent="0.25">
      <c r="A339" t="s">
        <v>10</v>
      </c>
      <c r="B339" t="s">
        <v>349</v>
      </c>
      <c r="C339" t="s">
        <v>12</v>
      </c>
      <c r="D339">
        <v>464590</v>
      </c>
      <c r="E339" t="str">
        <f>"0464590"</f>
        <v>0464590</v>
      </c>
      <c r="F339">
        <v>666</v>
      </c>
      <c r="G339" t="s">
        <v>13</v>
      </c>
      <c r="H339">
        <v>2020</v>
      </c>
      <c r="I339" t="s">
        <v>14</v>
      </c>
      <c r="J339" t="s">
        <v>15</v>
      </c>
    </row>
    <row r="340" spans="1:10" x14ac:dyDescent="0.25">
      <c r="A340" t="s">
        <v>10</v>
      </c>
      <c r="B340" t="s">
        <v>350</v>
      </c>
      <c r="C340" t="s">
        <v>12</v>
      </c>
      <c r="D340">
        <v>464650</v>
      </c>
      <c r="E340" t="str">
        <f>"0464650"</f>
        <v>0464650</v>
      </c>
      <c r="F340">
        <v>1931</v>
      </c>
      <c r="G340" t="s">
        <v>13</v>
      </c>
      <c r="H340">
        <v>2020</v>
      </c>
      <c r="I340" t="s">
        <v>14</v>
      </c>
      <c r="J340" t="s">
        <v>15</v>
      </c>
    </row>
    <row r="341" spans="1:10" x14ac:dyDescent="0.25">
      <c r="A341" t="s">
        <v>10</v>
      </c>
      <c r="B341" t="s">
        <v>351</v>
      </c>
      <c r="C341" t="s">
        <v>12</v>
      </c>
      <c r="D341">
        <v>465000</v>
      </c>
      <c r="E341" t="str">
        <f>"0465000"</f>
        <v>0465000</v>
      </c>
      <c r="F341">
        <v>242169</v>
      </c>
      <c r="G341" t="s">
        <v>13</v>
      </c>
      <c r="H341">
        <v>2020</v>
      </c>
      <c r="I341" t="s">
        <v>14</v>
      </c>
      <c r="J341" t="s">
        <v>15</v>
      </c>
    </row>
    <row r="342" spans="1:10" x14ac:dyDescent="0.25">
      <c r="A342" t="s">
        <v>10</v>
      </c>
      <c r="B342" t="s">
        <v>352</v>
      </c>
      <c r="C342" t="s">
        <v>12</v>
      </c>
      <c r="D342">
        <v>465167</v>
      </c>
      <c r="E342" t="str">
        <f>"0465167"</f>
        <v>0465167</v>
      </c>
      <c r="F342">
        <v>133</v>
      </c>
      <c r="G342" t="s">
        <v>13</v>
      </c>
      <c r="H342">
        <v>2020</v>
      </c>
      <c r="I342" t="s">
        <v>14</v>
      </c>
      <c r="J342" t="s">
        <v>15</v>
      </c>
    </row>
    <row r="343" spans="1:10" x14ac:dyDescent="0.25">
      <c r="A343" t="s">
        <v>10</v>
      </c>
      <c r="B343" t="s">
        <v>353</v>
      </c>
      <c r="C343" t="s">
        <v>12</v>
      </c>
      <c r="D343">
        <v>465280</v>
      </c>
      <c r="E343" t="str">
        <f>"0465280"</f>
        <v>0465280</v>
      </c>
      <c r="F343">
        <v>1206</v>
      </c>
      <c r="G343" t="s">
        <v>13</v>
      </c>
      <c r="H343">
        <v>2020</v>
      </c>
      <c r="I343" t="s">
        <v>14</v>
      </c>
      <c r="J343" t="s">
        <v>15</v>
      </c>
    </row>
    <row r="344" spans="1:10" x14ac:dyDescent="0.25">
      <c r="A344" t="s">
        <v>10</v>
      </c>
      <c r="B344" t="s">
        <v>354</v>
      </c>
      <c r="C344" t="s">
        <v>12</v>
      </c>
      <c r="D344">
        <v>465350</v>
      </c>
      <c r="E344" t="str">
        <f>"0465350"</f>
        <v>0465350</v>
      </c>
      <c r="F344">
        <v>9770</v>
      </c>
      <c r="G344" t="s">
        <v>13</v>
      </c>
      <c r="H344">
        <v>2020</v>
      </c>
      <c r="I344" t="s">
        <v>14</v>
      </c>
      <c r="J344" t="s">
        <v>15</v>
      </c>
    </row>
    <row r="345" spans="1:10" x14ac:dyDescent="0.25">
      <c r="A345" t="s">
        <v>10</v>
      </c>
      <c r="B345" t="s">
        <v>355</v>
      </c>
      <c r="C345" t="s">
        <v>12</v>
      </c>
      <c r="D345">
        <v>465400</v>
      </c>
      <c r="E345" t="str">
        <f>"0465400"</f>
        <v>0465400</v>
      </c>
      <c r="F345">
        <v>190</v>
      </c>
      <c r="G345" t="s">
        <v>13</v>
      </c>
      <c r="H345">
        <v>2020</v>
      </c>
      <c r="I345" t="s">
        <v>14</v>
      </c>
      <c r="J345" t="s">
        <v>15</v>
      </c>
    </row>
    <row r="346" spans="1:10" x14ac:dyDescent="0.25">
      <c r="A346" t="s">
        <v>10</v>
      </c>
      <c r="B346" t="s">
        <v>356</v>
      </c>
      <c r="C346" t="s">
        <v>12</v>
      </c>
      <c r="D346">
        <v>465420</v>
      </c>
      <c r="E346" t="str">
        <f>"0465420"</f>
        <v>0465420</v>
      </c>
      <c r="F346">
        <v>731</v>
      </c>
      <c r="G346" t="s">
        <v>13</v>
      </c>
      <c r="H346">
        <v>2020</v>
      </c>
      <c r="I346" t="s">
        <v>14</v>
      </c>
      <c r="J346" t="s">
        <v>15</v>
      </c>
    </row>
    <row r="347" spans="1:10" x14ac:dyDescent="0.25">
      <c r="A347" t="s">
        <v>10</v>
      </c>
      <c r="B347" t="s">
        <v>357</v>
      </c>
      <c r="C347" t="s">
        <v>12</v>
      </c>
      <c r="D347">
        <v>465490</v>
      </c>
      <c r="E347" t="str">
        <f>"0465490"</f>
        <v>0465490</v>
      </c>
      <c r="F347">
        <v>2200</v>
      </c>
      <c r="G347" t="s">
        <v>13</v>
      </c>
      <c r="H347">
        <v>2020</v>
      </c>
      <c r="I347" t="s">
        <v>14</v>
      </c>
      <c r="J347" t="s">
        <v>15</v>
      </c>
    </row>
    <row r="348" spans="1:10" x14ac:dyDescent="0.25">
      <c r="A348" t="s">
        <v>10</v>
      </c>
      <c r="B348" t="s">
        <v>358</v>
      </c>
      <c r="C348" t="s">
        <v>12</v>
      </c>
      <c r="D348">
        <v>465780</v>
      </c>
      <c r="E348" t="str">
        <f>"0465780"</f>
        <v>0465780</v>
      </c>
      <c r="F348">
        <v>765</v>
      </c>
      <c r="G348" t="s">
        <v>13</v>
      </c>
      <c r="H348">
        <v>2020</v>
      </c>
      <c r="I348" t="s">
        <v>14</v>
      </c>
      <c r="J348" t="s">
        <v>15</v>
      </c>
    </row>
    <row r="349" spans="1:10" x14ac:dyDescent="0.25">
      <c r="A349" t="s">
        <v>10</v>
      </c>
      <c r="B349" t="s">
        <v>359</v>
      </c>
      <c r="C349" t="s">
        <v>12</v>
      </c>
      <c r="D349">
        <v>466190</v>
      </c>
      <c r="E349" t="str">
        <f>"0466190"</f>
        <v>0466190</v>
      </c>
      <c r="F349">
        <v>1131</v>
      </c>
      <c r="G349" t="s">
        <v>13</v>
      </c>
      <c r="H349">
        <v>2020</v>
      </c>
      <c r="I349" t="s">
        <v>14</v>
      </c>
      <c r="J349" t="s">
        <v>15</v>
      </c>
    </row>
    <row r="350" spans="1:10" x14ac:dyDescent="0.25">
      <c r="A350" t="s">
        <v>10</v>
      </c>
      <c r="B350" t="s">
        <v>360</v>
      </c>
      <c r="C350" t="s">
        <v>12</v>
      </c>
      <c r="D350">
        <v>466260</v>
      </c>
      <c r="E350" t="str">
        <f>"0466260"</f>
        <v>0466260</v>
      </c>
      <c r="F350">
        <v>347</v>
      </c>
      <c r="G350" t="s">
        <v>13</v>
      </c>
      <c r="H350">
        <v>2020</v>
      </c>
      <c r="I350" t="s">
        <v>14</v>
      </c>
      <c r="J350" t="s">
        <v>15</v>
      </c>
    </row>
    <row r="351" spans="1:10" x14ac:dyDescent="0.25">
      <c r="A351" t="s">
        <v>10</v>
      </c>
      <c r="B351" t="s">
        <v>361</v>
      </c>
      <c r="C351" t="s">
        <v>12</v>
      </c>
      <c r="D351">
        <v>466470</v>
      </c>
      <c r="E351" t="str">
        <f>"0466470"</f>
        <v>0466470</v>
      </c>
      <c r="F351">
        <v>11913</v>
      </c>
      <c r="G351" t="s">
        <v>13</v>
      </c>
      <c r="H351">
        <v>2020</v>
      </c>
      <c r="I351" t="s">
        <v>14</v>
      </c>
      <c r="J351" t="s">
        <v>15</v>
      </c>
    </row>
    <row r="352" spans="1:10" x14ac:dyDescent="0.25">
      <c r="A352" t="s">
        <v>10</v>
      </c>
      <c r="B352" t="s">
        <v>362</v>
      </c>
      <c r="C352" t="s">
        <v>12</v>
      </c>
      <c r="D352">
        <v>466540</v>
      </c>
      <c r="E352" t="str">
        <f>"0466540"</f>
        <v>0466540</v>
      </c>
      <c r="F352">
        <v>178</v>
      </c>
      <c r="G352" t="s">
        <v>13</v>
      </c>
      <c r="H352">
        <v>2020</v>
      </c>
      <c r="I352" t="s">
        <v>14</v>
      </c>
      <c r="J352" t="s">
        <v>15</v>
      </c>
    </row>
    <row r="353" spans="1:10" x14ac:dyDescent="0.25">
      <c r="A353" t="s">
        <v>10</v>
      </c>
      <c r="B353" t="s">
        <v>363</v>
      </c>
      <c r="C353" t="s">
        <v>12</v>
      </c>
      <c r="D353">
        <v>466820</v>
      </c>
      <c r="E353" t="str">
        <f>"0466820"</f>
        <v>0466820</v>
      </c>
      <c r="F353">
        <v>45203</v>
      </c>
      <c r="G353" t="s">
        <v>13</v>
      </c>
      <c r="H353">
        <v>2020</v>
      </c>
      <c r="I353" t="s">
        <v>14</v>
      </c>
      <c r="J353" t="s">
        <v>15</v>
      </c>
    </row>
    <row r="354" spans="1:10" x14ac:dyDescent="0.25">
      <c r="A354" t="s">
        <v>10</v>
      </c>
      <c r="B354" t="s">
        <v>364</v>
      </c>
      <c r="C354" t="s">
        <v>12</v>
      </c>
      <c r="D354">
        <v>466845</v>
      </c>
      <c r="E354" t="str">
        <f>"0466845"</f>
        <v>0466845</v>
      </c>
      <c r="F354">
        <v>14213</v>
      </c>
      <c r="G354" t="s">
        <v>13</v>
      </c>
      <c r="H354">
        <v>2020</v>
      </c>
      <c r="I354" t="s">
        <v>14</v>
      </c>
      <c r="J354" t="s">
        <v>15</v>
      </c>
    </row>
    <row r="355" spans="1:10" x14ac:dyDescent="0.25">
      <c r="A355" t="s">
        <v>10</v>
      </c>
      <c r="B355" t="s">
        <v>365</v>
      </c>
      <c r="C355" t="s">
        <v>12</v>
      </c>
      <c r="D355">
        <v>467295</v>
      </c>
      <c r="E355" t="str">
        <f>"0467295"</f>
        <v>0467295</v>
      </c>
      <c r="F355">
        <v>966</v>
      </c>
      <c r="G355" t="s">
        <v>13</v>
      </c>
      <c r="H355">
        <v>2020</v>
      </c>
      <c r="I355" t="s">
        <v>14</v>
      </c>
      <c r="J355" t="s">
        <v>15</v>
      </c>
    </row>
    <row r="356" spans="1:10" x14ac:dyDescent="0.25">
      <c r="A356" t="s">
        <v>10</v>
      </c>
      <c r="B356" t="s">
        <v>366</v>
      </c>
      <c r="C356" t="s">
        <v>12</v>
      </c>
      <c r="D356">
        <v>467800</v>
      </c>
      <c r="E356" t="str">
        <f>"0467800"</f>
        <v>0467800</v>
      </c>
      <c r="F356">
        <v>6349</v>
      </c>
      <c r="G356" t="s">
        <v>13</v>
      </c>
      <c r="H356">
        <v>2020</v>
      </c>
      <c r="I356" t="s">
        <v>14</v>
      </c>
      <c r="J356" t="s">
        <v>15</v>
      </c>
    </row>
    <row r="357" spans="1:10" x14ac:dyDescent="0.25">
      <c r="A357" t="s">
        <v>10</v>
      </c>
      <c r="B357" t="s">
        <v>367</v>
      </c>
      <c r="C357" t="s">
        <v>12</v>
      </c>
      <c r="D357">
        <v>467920</v>
      </c>
      <c r="E357" t="str">
        <f>"0467920"</f>
        <v>0467920</v>
      </c>
      <c r="F357">
        <v>513</v>
      </c>
      <c r="G357" t="s">
        <v>13</v>
      </c>
      <c r="H357">
        <v>2020</v>
      </c>
      <c r="I357" t="s">
        <v>14</v>
      </c>
      <c r="J357" t="s">
        <v>15</v>
      </c>
    </row>
    <row r="358" spans="1:10" x14ac:dyDescent="0.25">
      <c r="A358" t="s">
        <v>10</v>
      </c>
      <c r="B358" t="s">
        <v>368</v>
      </c>
      <c r="C358" t="s">
        <v>12</v>
      </c>
      <c r="D358">
        <v>468010</v>
      </c>
      <c r="E358" t="str">
        <f>"0468010"</f>
        <v>0468010</v>
      </c>
      <c r="F358">
        <v>478</v>
      </c>
      <c r="G358" t="s">
        <v>13</v>
      </c>
      <c r="H358">
        <v>2020</v>
      </c>
      <c r="I358" t="s">
        <v>14</v>
      </c>
      <c r="J358" t="s">
        <v>15</v>
      </c>
    </row>
    <row r="359" spans="1:10" x14ac:dyDescent="0.25">
      <c r="A359" t="s">
        <v>10</v>
      </c>
      <c r="B359" t="s">
        <v>369</v>
      </c>
      <c r="C359" t="s">
        <v>12</v>
      </c>
      <c r="D359">
        <v>468080</v>
      </c>
      <c r="E359" t="str">
        <f>"0468080"</f>
        <v>0468080</v>
      </c>
      <c r="F359">
        <v>14383</v>
      </c>
      <c r="G359" t="s">
        <v>13</v>
      </c>
      <c r="H359">
        <v>2020</v>
      </c>
      <c r="I359" t="s">
        <v>14</v>
      </c>
      <c r="J359" t="s">
        <v>15</v>
      </c>
    </row>
    <row r="360" spans="1:10" x14ac:dyDescent="0.25">
      <c r="A360" t="s">
        <v>10</v>
      </c>
      <c r="B360" t="s">
        <v>370</v>
      </c>
      <c r="C360" t="s">
        <v>12</v>
      </c>
      <c r="D360">
        <v>468220</v>
      </c>
      <c r="E360" t="str">
        <f>"0468220"</f>
        <v>0468220</v>
      </c>
      <c r="F360">
        <v>721</v>
      </c>
      <c r="G360" t="s">
        <v>13</v>
      </c>
      <c r="H360">
        <v>2020</v>
      </c>
      <c r="I360" t="s">
        <v>14</v>
      </c>
      <c r="J360" t="s">
        <v>15</v>
      </c>
    </row>
    <row r="361" spans="1:10" x14ac:dyDescent="0.25">
      <c r="A361" t="s">
        <v>10</v>
      </c>
      <c r="B361" t="s">
        <v>371</v>
      </c>
      <c r="C361" t="s">
        <v>12</v>
      </c>
      <c r="D361">
        <v>468670</v>
      </c>
      <c r="E361" t="str">
        <f>"0468670"</f>
        <v>0468670</v>
      </c>
      <c r="F361">
        <v>213</v>
      </c>
      <c r="G361" t="s">
        <v>13</v>
      </c>
      <c r="H361">
        <v>2020</v>
      </c>
      <c r="I361" t="s">
        <v>14</v>
      </c>
      <c r="J361" t="s">
        <v>15</v>
      </c>
    </row>
    <row r="362" spans="1:10" x14ac:dyDescent="0.25">
      <c r="A362" t="s">
        <v>10</v>
      </c>
      <c r="B362" t="s">
        <v>372</v>
      </c>
      <c r="C362" t="s">
        <v>12</v>
      </c>
      <c r="D362">
        <v>468850</v>
      </c>
      <c r="E362" t="str">
        <f>"0468850"</f>
        <v>0468850</v>
      </c>
      <c r="F362">
        <v>4601</v>
      </c>
      <c r="G362" t="s">
        <v>13</v>
      </c>
      <c r="H362">
        <v>2020</v>
      </c>
      <c r="I362" t="s">
        <v>14</v>
      </c>
      <c r="J362" t="s">
        <v>15</v>
      </c>
    </row>
    <row r="363" spans="1:10" x14ac:dyDescent="0.25">
      <c r="A363" t="s">
        <v>10</v>
      </c>
      <c r="B363" t="s">
        <v>373</v>
      </c>
      <c r="C363" t="s">
        <v>12</v>
      </c>
      <c r="D363">
        <v>468990</v>
      </c>
      <c r="E363" t="str">
        <f>"0468990"</f>
        <v>0468990</v>
      </c>
      <c r="F363">
        <v>1847</v>
      </c>
      <c r="G363" t="s">
        <v>13</v>
      </c>
      <c r="H363">
        <v>2020</v>
      </c>
      <c r="I363" t="s">
        <v>14</v>
      </c>
      <c r="J363" t="s">
        <v>15</v>
      </c>
    </row>
    <row r="364" spans="1:10" x14ac:dyDescent="0.25">
      <c r="A364" t="s">
        <v>10</v>
      </c>
      <c r="B364" t="s">
        <v>374</v>
      </c>
      <c r="C364" t="s">
        <v>12</v>
      </c>
      <c r="D364">
        <v>469060</v>
      </c>
      <c r="E364" t="str">
        <f>"0469060"</f>
        <v>0469060</v>
      </c>
      <c r="F364">
        <v>1610</v>
      </c>
      <c r="G364" t="s">
        <v>13</v>
      </c>
      <c r="H364">
        <v>2020</v>
      </c>
      <c r="I364" t="s">
        <v>14</v>
      </c>
      <c r="J364" t="s">
        <v>15</v>
      </c>
    </row>
    <row r="365" spans="1:10" x14ac:dyDescent="0.25">
      <c r="A365" t="s">
        <v>10</v>
      </c>
      <c r="B365" t="s">
        <v>375</v>
      </c>
      <c r="C365" t="s">
        <v>12</v>
      </c>
      <c r="D365">
        <v>469130</v>
      </c>
      <c r="E365" t="str">
        <f>"0469130"</f>
        <v>0469130</v>
      </c>
      <c r="F365">
        <v>338</v>
      </c>
      <c r="G365" t="s">
        <v>13</v>
      </c>
      <c r="H365">
        <v>2020</v>
      </c>
      <c r="I365" t="s">
        <v>14</v>
      </c>
      <c r="J365" t="s">
        <v>15</v>
      </c>
    </row>
    <row r="366" spans="1:10" x14ac:dyDescent="0.25">
      <c r="A366" t="s">
        <v>10</v>
      </c>
      <c r="B366" t="s">
        <v>376</v>
      </c>
      <c r="C366" t="s">
        <v>12</v>
      </c>
      <c r="D366">
        <v>469480</v>
      </c>
      <c r="E366" t="str">
        <f>"0469480"</f>
        <v>0469480</v>
      </c>
      <c r="F366">
        <v>2517</v>
      </c>
      <c r="G366" t="s">
        <v>13</v>
      </c>
      <c r="H366">
        <v>2020</v>
      </c>
      <c r="I366" t="s">
        <v>14</v>
      </c>
      <c r="J366" t="s">
        <v>15</v>
      </c>
    </row>
    <row r="367" spans="1:10" x14ac:dyDescent="0.25">
      <c r="A367" t="s">
        <v>10</v>
      </c>
      <c r="B367" t="s">
        <v>377</v>
      </c>
      <c r="C367" t="s">
        <v>12</v>
      </c>
      <c r="D367">
        <v>469585</v>
      </c>
      <c r="E367" t="str">
        <f>"0469585"</f>
        <v>0469585</v>
      </c>
      <c r="F367">
        <v>364</v>
      </c>
      <c r="G367" t="s">
        <v>13</v>
      </c>
      <c r="H367">
        <v>2020</v>
      </c>
      <c r="I367" t="s">
        <v>14</v>
      </c>
      <c r="J367" t="s">
        <v>15</v>
      </c>
    </row>
    <row r="368" spans="1:10" x14ac:dyDescent="0.25">
      <c r="A368" t="s">
        <v>10</v>
      </c>
      <c r="B368" t="s">
        <v>378</v>
      </c>
      <c r="C368" t="s">
        <v>12</v>
      </c>
      <c r="D368">
        <v>469872</v>
      </c>
      <c r="E368" t="str">
        <f>"0469872"</f>
        <v>0469872</v>
      </c>
      <c r="F368">
        <v>583</v>
      </c>
      <c r="G368" t="s">
        <v>13</v>
      </c>
      <c r="H368">
        <v>2020</v>
      </c>
      <c r="I368" t="s">
        <v>14</v>
      </c>
      <c r="J368" t="s">
        <v>15</v>
      </c>
    </row>
    <row r="369" spans="1:10" x14ac:dyDescent="0.25">
      <c r="A369" t="s">
        <v>10</v>
      </c>
      <c r="B369" t="s">
        <v>379</v>
      </c>
      <c r="C369" t="s">
        <v>12</v>
      </c>
      <c r="D369">
        <v>470040</v>
      </c>
      <c r="E369" t="str">
        <f>"0470040"</f>
        <v>0470040</v>
      </c>
      <c r="F369">
        <v>881</v>
      </c>
      <c r="G369" t="s">
        <v>13</v>
      </c>
      <c r="H369">
        <v>2020</v>
      </c>
      <c r="I369" t="s">
        <v>14</v>
      </c>
      <c r="J369" t="s">
        <v>15</v>
      </c>
    </row>
    <row r="370" spans="1:10" x14ac:dyDescent="0.25">
      <c r="A370" t="s">
        <v>10</v>
      </c>
      <c r="B370" t="s">
        <v>380</v>
      </c>
      <c r="C370" t="s">
        <v>12</v>
      </c>
      <c r="D370">
        <v>470175</v>
      </c>
      <c r="E370" t="str">
        <f>"0470175"</f>
        <v>0470175</v>
      </c>
      <c r="F370">
        <v>22</v>
      </c>
      <c r="G370" t="s">
        <v>13</v>
      </c>
      <c r="H370">
        <v>2020</v>
      </c>
      <c r="I370" t="s">
        <v>14</v>
      </c>
      <c r="J370" t="s">
        <v>15</v>
      </c>
    </row>
    <row r="371" spans="1:10" x14ac:dyDescent="0.25">
      <c r="A371" t="s">
        <v>10</v>
      </c>
      <c r="B371" t="s">
        <v>381</v>
      </c>
      <c r="C371" t="s">
        <v>12</v>
      </c>
      <c r="D371">
        <v>470240</v>
      </c>
      <c r="E371" t="str">
        <f>"0470240"</f>
        <v>0470240</v>
      </c>
      <c r="F371">
        <v>4410</v>
      </c>
      <c r="G371" t="s">
        <v>13</v>
      </c>
      <c r="H371">
        <v>2020</v>
      </c>
      <c r="I371" t="s">
        <v>14</v>
      </c>
      <c r="J371" t="s">
        <v>15</v>
      </c>
    </row>
    <row r="372" spans="1:10" x14ac:dyDescent="0.25">
      <c r="A372" t="s">
        <v>10</v>
      </c>
      <c r="B372" t="s">
        <v>382</v>
      </c>
      <c r="C372" t="s">
        <v>12</v>
      </c>
      <c r="D372">
        <v>470320</v>
      </c>
      <c r="E372" t="str">
        <f>"0470320"</f>
        <v>0470320</v>
      </c>
      <c r="F372">
        <v>38018</v>
      </c>
      <c r="G372" t="s">
        <v>13</v>
      </c>
      <c r="H372">
        <v>2020</v>
      </c>
      <c r="I372" t="s">
        <v>14</v>
      </c>
      <c r="J372" t="s">
        <v>15</v>
      </c>
    </row>
    <row r="373" spans="1:10" x14ac:dyDescent="0.25">
      <c r="A373" t="s">
        <v>10</v>
      </c>
      <c r="B373" t="s">
        <v>383</v>
      </c>
      <c r="C373" t="s">
        <v>12</v>
      </c>
      <c r="D373">
        <v>470355</v>
      </c>
      <c r="E373" t="str">
        <f>"0470355"</f>
        <v>0470355</v>
      </c>
      <c r="F373">
        <v>27003</v>
      </c>
      <c r="G373" t="s">
        <v>13</v>
      </c>
      <c r="H373">
        <v>2020</v>
      </c>
      <c r="I373" t="s">
        <v>14</v>
      </c>
      <c r="J373" t="s">
        <v>15</v>
      </c>
    </row>
    <row r="374" spans="1:10" x14ac:dyDescent="0.25">
      <c r="A374" t="s">
        <v>10</v>
      </c>
      <c r="B374" t="s">
        <v>384</v>
      </c>
      <c r="C374" t="s">
        <v>12</v>
      </c>
      <c r="D374">
        <v>470460</v>
      </c>
      <c r="E374" t="str">
        <f>"0470460"</f>
        <v>0470460</v>
      </c>
      <c r="F374">
        <v>211</v>
      </c>
      <c r="G374" t="s">
        <v>13</v>
      </c>
      <c r="H374">
        <v>2020</v>
      </c>
      <c r="I374" t="s">
        <v>14</v>
      </c>
      <c r="J374" t="s">
        <v>15</v>
      </c>
    </row>
    <row r="375" spans="1:10" x14ac:dyDescent="0.25">
      <c r="A375" t="s">
        <v>10</v>
      </c>
      <c r="B375" t="s">
        <v>385</v>
      </c>
      <c r="C375" t="s">
        <v>12</v>
      </c>
      <c r="D375">
        <v>470530</v>
      </c>
      <c r="E375" t="str">
        <f>"0470530"</f>
        <v>0470530</v>
      </c>
      <c r="F375">
        <v>14079</v>
      </c>
      <c r="G375" t="s">
        <v>13</v>
      </c>
      <c r="H375">
        <v>2020</v>
      </c>
      <c r="I375" t="s">
        <v>14</v>
      </c>
      <c r="J375" t="s">
        <v>15</v>
      </c>
    </row>
    <row r="376" spans="1:10" x14ac:dyDescent="0.25">
      <c r="A376" t="s">
        <v>10</v>
      </c>
      <c r="B376" t="s">
        <v>386</v>
      </c>
      <c r="C376" t="s">
        <v>12</v>
      </c>
      <c r="D376">
        <v>471020</v>
      </c>
      <c r="E376" t="str">
        <f>"0471020"</f>
        <v>0471020</v>
      </c>
      <c r="F376">
        <v>660</v>
      </c>
      <c r="G376" t="s">
        <v>13</v>
      </c>
      <c r="H376">
        <v>2020</v>
      </c>
      <c r="I376" t="s">
        <v>14</v>
      </c>
      <c r="J376" t="s">
        <v>15</v>
      </c>
    </row>
    <row r="377" spans="1:10" x14ac:dyDescent="0.25">
      <c r="A377" t="s">
        <v>10</v>
      </c>
      <c r="B377" t="s">
        <v>387</v>
      </c>
      <c r="C377" t="s">
        <v>12</v>
      </c>
      <c r="D377">
        <v>471160</v>
      </c>
      <c r="E377" t="str">
        <f>"0471160"</f>
        <v>0471160</v>
      </c>
      <c r="F377">
        <v>77</v>
      </c>
      <c r="G377" t="s">
        <v>13</v>
      </c>
      <c r="H377">
        <v>2020</v>
      </c>
      <c r="I377" t="s">
        <v>14</v>
      </c>
      <c r="J377" t="s">
        <v>15</v>
      </c>
    </row>
    <row r="378" spans="1:10" x14ac:dyDescent="0.25">
      <c r="A378" t="s">
        <v>10</v>
      </c>
      <c r="B378" t="s">
        <v>388</v>
      </c>
      <c r="C378" t="s">
        <v>12</v>
      </c>
      <c r="D378">
        <v>471220</v>
      </c>
      <c r="E378" t="str">
        <f>"0471220"</f>
        <v>0471220</v>
      </c>
      <c r="F378">
        <v>46</v>
      </c>
      <c r="G378" t="s">
        <v>13</v>
      </c>
      <c r="H378">
        <v>2020</v>
      </c>
      <c r="I378" t="s">
        <v>14</v>
      </c>
      <c r="J378" t="s">
        <v>15</v>
      </c>
    </row>
    <row r="379" spans="1:10" x14ac:dyDescent="0.25">
      <c r="A379" t="s">
        <v>10</v>
      </c>
      <c r="B379" t="s">
        <v>389</v>
      </c>
      <c r="C379" t="s">
        <v>12</v>
      </c>
      <c r="D379">
        <v>471230</v>
      </c>
      <c r="E379" t="str">
        <f>"0471230"</f>
        <v>0471230</v>
      </c>
      <c r="F379">
        <v>0</v>
      </c>
      <c r="G379" t="s">
        <v>13</v>
      </c>
      <c r="H379">
        <v>2020</v>
      </c>
      <c r="I379" t="s">
        <v>14</v>
      </c>
      <c r="J379" t="s">
        <v>15</v>
      </c>
    </row>
    <row r="380" spans="1:10" x14ac:dyDescent="0.25">
      <c r="A380" t="s">
        <v>10</v>
      </c>
      <c r="B380" t="s">
        <v>390</v>
      </c>
      <c r="C380" t="s">
        <v>12</v>
      </c>
      <c r="D380">
        <v>471300</v>
      </c>
      <c r="E380" t="str">
        <f>"0471300"</f>
        <v>0471300</v>
      </c>
      <c r="F380" t="s">
        <v>391</v>
      </c>
      <c r="G380" t="s">
        <v>13</v>
      </c>
      <c r="H380">
        <v>2020</v>
      </c>
      <c r="I380" t="s">
        <v>14</v>
      </c>
      <c r="J380" t="s">
        <v>15</v>
      </c>
    </row>
    <row r="381" spans="1:10" x14ac:dyDescent="0.25">
      <c r="A381" t="s">
        <v>10</v>
      </c>
      <c r="B381" t="s">
        <v>392</v>
      </c>
      <c r="C381" t="s">
        <v>12</v>
      </c>
      <c r="D381">
        <v>471510</v>
      </c>
      <c r="E381" t="str">
        <f>"0471510"</f>
        <v>0471510</v>
      </c>
      <c r="F381">
        <v>149519</v>
      </c>
      <c r="G381" t="s">
        <v>13</v>
      </c>
      <c r="H381">
        <v>2020</v>
      </c>
      <c r="I381" t="s">
        <v>14</v>
      </c>
      <c r="J381" t="s">
        <v>15</v>
      </c>
    </row>
    <row r="382" spans="1:10" x14ac:dyDescent="0.25">
      <c r="A382" t="s">
        <v>10</v>
      </c>
      <c r="B382" t="s">
        <v>393</v>
      </c>
      <c r="C382" t="s">
        <v>12</v>
      </c>
      <c r="D382">
        <v>471642</v>
      </c>
      <c r="E382" t="str">
        <f>"0471642"</f>
        <v>0471642</v>
      </c>
      <c r="F382">
        <v>118</v>
      </c>
      <c r="G382" t="s">
        <v>13</v>
      </c>
      <c r="H382">
        <v>2020</v>
      </c>
      <c r="I382" t="s">
        <v>14</v>
      </c>
      <c r="J382" t="s">
        <v>15</v>
      </c>
    </row>
    <row r="383" spans="1:10" x14ac:dyDescent="0.25">
      <c r="A383" t="s">
        <v>10</v>
      </c>
      <c r="B383" t="s">
        <v>394</v>
      </c>
      <c r="C383" t="s">
        <v>12</v>
      </c>
      <c r="D383">
        <v>471650</v>
      </c>
      <c r="E383" t="str">
        <f>"0471650"</f>
        <v>0471650</v>
      </c>
      <c r="F383">
        <v>2889</v>
      </c>
      <c r="G383" t="s">
        <v>13</v>
      </c>
      <c r="H383">
        <v>2020</v>
      </c>
      <c r="I383" t="s">
        <v>14</v>
      </c>
      <c r="J383" t="s">
        <v>15</v>
      </c>
    </row>
    <row r="384" spans="1:10" x14ac:dyDescent="0.25">
      <c r="A384" t="s">
        <v>10</v>
      </c>
      <c r="B384" t="s">
        <v>395</v>
      </c>
      <c r="C384" t="s">
        <v>12</v>
      </c>
      <c r="D384">
        <v>471790</v>
      </c>
      <c r="E384" t="str">
        <f>"0471790"</f>
        <v>0471790</v>
      </c>
      <c r="F384">
        <v>457</v>
      </c>
      <c r="G384" t="s">
        <v>13</v>
      </c>
      <c r="H384">
        <v>2020</v>
      </c>
      <c r="I384" t="s">
        <v>14</v>
      </c>
      <c r="J384" t="s">
        <v>15</v>
      </c>
    </row>
    <row r="385" spans="1:10" x14ac:dyDescent="0.25">
      <c r="A385" t="s">
        <v>10</v>
      </c>
      <c r="B385" t="s">
        <v>396</v>
      </c>
      <c r="C385" t="s">
        <v>12</v>
      </c>
      <c r="D385">
        <v>472000</v>
      </c>
      <c r="E385" t="str">
        <f>"0472000"</f>
        <v>0472000</v>
      </c>
      <c r="F385">
        <v>15531</v>
      </c>
      <c r="G385" t="s">
        <v>13</v>
      </c>
      <c r="H385">
        <v>2020</v>
      </c>
      <c r="I385" t="s">
        <v>14</v>
      </c>
      <c r="J385" t="s">
        <v>15</v>
      </c>
    </row>
    <row r="386" spans="1:10" x14ac:dyDescent="0.25">
      <c r="A386" t="s">
        <v>10</v>
      </c>
      <c r="B386" t="s">
        <v>397</v>
      </c>
      <c r="C386" t="s">
        <v>12</v>
      </c>
      <c r="D386">
        <v>472280</v>
      </c>
      <c r="E386" t="str">
        <f>"0472280"</f>
        <v>0472280</v>
      </c>
      <c r="F386">
        <v>0</v>
      </c>
      <c r="G386" t="s">
        <v>13</v>
      </c>
      <c r="H386">
        <v>2020</v>
      </c>
      <c r="I386" t="s">
        <v>14</v>
      </c>
      <c r="J386" t="s">
        <v>15</v>
      </c>
    </row>
    <row r="387" spans="1:10" x14ac:dyDescent="0.25">
      <c r="A387" t="s">
        <v>10</v>
      </c>
      <c r="B387" t="s">
        <v>398</v>
      </c>
      <c r="C387" t="s">
        <v>12</v>
      </c>
      <c r="D387">
        <v>472420</v>
      </c>
      <c r="E387" t="str">
        <f>"0472420"</f>
        <v>0472420</v>
      </c>
      <c r="F387">
        <v>4091</v>
      </c>
      <c r="G387" t="s">
        <v>13</v>
      </c>
      <c r="H387">
        <v>2020</v>
      </c>
      <c r="I387" t="s">
        <v>14</v>
      </c>
      <c r="J387" t="s">
        <v>15</v>
      </c>
    </row>
    <row r="388" spans="1:10" x14ac:dyDescent="0.25">
      <c r="A388" t="s">
        <v>10</v>
      </c>
      <c r="B388" t="s">
        <v>399</v>
      </c>
      <c r="C388" t="s">
        <v>12</v>
      </c>
      <c r="D388">
        <v>472560</v>
      </c>
      <c r="E388" t="str">
        <f>"0472560"</f>
        <v>0472560</v>
      </c>
      <c r="F388">
        <v>882</v>
      </c>
      <c r="G388" t="s">
        <v>13</v>
      </c>
      <c r="H388">
        <v>2020</v>
      </c>
      <c r="I388" t="s">
        <v>14</v>
      </c>
      <c r="J388" t="s">
        <v>15</v>
      </c>
    </row>
    <row r="389" spans="1:10" x14ac:dyDescent="0.25">
      <c r="A389" t="s">
        <v>10</v>
      </c>
      <c r="B389" t="s">
        <v>400</v>
      </c>
      <c r="C389" t="s">
        <v>12</v>
      </c>
      <c r="D389">
        <v>472630</v>
      </c>
      <c r="E389" t="str">
        <f>"0472630"</f>
        <v>0472630</v>
      </c>
      <c r="F389">
        <v>440</v>
      </c>
      <c r="G389" t="s">
        <v>13</v>
      </c>
      <c r="H389">
        <v>2020</v>
      </c>
      <c r="I389" t="s">
        <v>14</v>
      </c>
      <c r="J389" t="s">
        <v>15</v>
      </c>
    </row>
    <row r="390" spans="1:10" x14ac:dyDescent="0.25">
      <c r="A390" t="s">
        <v>10</v>
      </c>
      <c r="B390" t="s">
        <v>401</v>
      </c>
      <c r="C390" t="s">
        <v>12</v>
      </c>
      <c r="D390">
        <v>473000</v>
      </c>
      <c r="E390" t="str">
        <f>"0473000"</f>
        <v>0473000</v>
      </c>
      <c r="F390">
        <v>186419</v>
      </c>
      <c r="G390" t="s">
        <v>13</v>
      </c>
      <c r="H390">
        <v>2020</v>
      </c>
      <c r="I390" t="s">
        <v>14</v>
      </c>
      <c r="J390" t="s">
        <v>15</v>
      </c>
    </row>
    <row r="391" spans="1:10" x14ac:dyDescent="0.25">
      <c r="A391" t="s">
        <v>10</v>
      </c>
      <c r="B391" t="s">
        <v>402</v>
      </c>
      <c r="C391" t="s">
        <v>12</v>
      </c>
      <c r="D391">
        <v>473420</v>
      </c>
      <c r="E391" t="str">
        <f>"0473420"</f>
        <v>0473420</v>
      </c>
      <c r="F391">
        <v>5354</v>
      </c>
      <c r="G391" t="s">
        <v>13</v>
      </c>
      <c r="H391">
        <v>2020</v>
      </c>
      <c r="I391" t="s">
        <v>14</v>
      </c>
      <c r="J391" t="s">
        <v>15</v>
      </c>
    </row>
    <row r="392" spans="1:10" x14ac:dyDescent="0.25">
      <c r="A392" t="s">
        <v>10</v>
      </c>
      <c r="B392" t="s">
        <v>403</v>
      </c>
      <c r="C392" t="s">
        <v>12</v>
      </c>
      <c r="D392">
        <v>473490</v>
      </c>
      <c r="E392" t="str">
        <f>"0473490"</f>
        <v>0473490</v>
      </c>
      <c r="F392">
        <v>115</v>
      </c>
      <c r="G392" t="s">
        <v>13</v>
      </c>
      <c r="H392">
        <v>2020</v>
      </c>
      <c r="I392" t="s">
        <v>14</v>
      </c>
      <c r="J392" t="s">
        <v>15</v>
      </c>
    </row>
    <row r="393" spans="1:10" x14ac:dyDescent="0.25">
      <c r="A393" t="s">
        <v>10</v>
      </c>
      <c r="B393" t="s">
        <v>404</v>
      </c>
      <c r="C393" t="s">
        <v>12</v>
      </c>
      <c r="D393">
        <v>473700</v>
      </c>
      <c r="E393" t="str">
        <f>"0473700"</f>
        <v>0473700</v>
      </c>
      <c r="F393">
        <v>5033</v>
      </c>
      <c r="G393" t="s">
        <v>13</v>
      </c>
      <c r="H393">
        <v>2020</v>
      </c>
      <c r="I393" t="s">
        <v>14</v>
      </c>
      <c r="J393" t="s">
        <v>15</v>
      </c>
    </row>
    <row r="394" spans="1:10" x14ac:dyDescent="0.25">
      <c r="A394" t="s">
        <v>10</v>
      </c>
      <c r="B394" t="s">
        <v>405</v>
      </c>
      <c r="C394" t="s">
        <v>12</v>
      </c>
      <c r="D394">
        <v>473890</v>
      </c>
      <c r="E394" t="str">
        <f>"0473890"</f>
        <v>0473890</v>
      </c>
      <c r="F394">
        <v>2326</v>
      </c>
      <c r="G394" t="s">
        <v>13</v>
      </c>
      <c r="H394">
        <v>2020</v>
      </c>
      <c r="I394" t="s">
        <v>14</v>
      </c>
      <c r="J394" t="s">
        <v>15</v>
      </c>
    </row>
    <row r="395" spans="1:10" x14ac:dyDescent="0.25">
      <c r="A395" t="s">
        <v>10</v>
      </c>
      <c r="B395" t="s">
        <v>406</v>
      </c>
      <c r="C395" t="s">
        <v>12</v>
      </c>
      <c r="D395">
        <v>474120</v>
      </c>
      <c r="E395" t="str">
        <f>"0474120"</f>
        <v>0474120</v>
      </c>
      <c r="F395">
        <v>430</v>
      </c>
      <c r="G395" t="s">
        <v>13</v>
      </c>
      <c r="H395">
        <v>2020</v>
      </c>
      <c r="I395" t="s">
        <v>14</v>
      </c>
      <c r="J395" t="s">
        <v>15</v>
      </c>
    </row>
    <row r="396" spans="1:10" x14ac:dyDescent="0.25">
      <c r="A396" t="s">
        <v>10</v>
      </c>
      <c r="B396" t="s">
        <v>407</v>
      </c>
      <c r="C396" t="s">
        <v>12</v>
      </c>
      <c r="D396">
        <v>474190</v>
      </c>
      <c r="E396" t="str">
        <f>"0474190"</f>
        <v>0474190</v>
      </c>
      <c r="F396">
        <v>7233</v>
      </c>
      <c r="G396" t="s">
        <v>13</v>
      </c>
      <c r="H396">
        <v>2020</v>
      </c>
      <c r="I396" t="s">
        <v>14</v>
      </c>
      <c r="J396" t="s">
        <v>15</v>
      </c>
    </row>
    <row r="397" spans="1:10" x14ac:dyDescent="0.25">
      <c r="A397" t="s">
        <v>10</v>
      </c>
      <c r="B397" t="s">
        <v>408</v>
      </c>
      <c r="C397" t="s">
        <v>12</v>
      </c>
      <c r="D397">
        <v>474400</v>
      </c>
      <c r="E397" t="str">
        <f>"0474400"</f>
        <v>0474400</v>
      </c>
      <c r="F397">
        <v>1022</v>
      </c>
      <c r="G397" t="s">
        <v>13</v>
      </c>
      <c r="H397">
        <v>2020</v>
      </c>
      <c r="I397" t="s">
        <v>14</v>
      </c>
      <c r="J397" t="s">
        <v>15</v>
      </c>
    </row>
    <row r="398" spans="1:10" x14ac:dyDescent="0.25">
      <c r="A398" t="s">
        <v>10</v>
      </c>
      <c r="B398" t="s">
        <v>409</v>
      </c>
      <c r="C398" t="s">
        <v>12</v>
      </c>
      <c r="D398">
        <v>474470</v>
      </c>
      <c r="E398" t="str">
        <f>"0474470"</f>
        <v>0474470</v>
      </c>
      <c r="F398">
        <v>275</v>
      </c>
      <c r="G398" t="s">
        <v>13</v>
      </c>
      <c r="H398">
        <v>2020</v>
      </c>
      <c r="I398" t="s">
        <v>14</v>
      </c>
      <c r="J398" t="s">
        <v>15</v>
      </c>
    </row>
    <row r="399" spans="1:10" x14ac:dyDescent="0.25">
      <c r="A399" t="s">
        <v>10</v>
      </c>
      <c r="B399" t="s">
        <v>410</v>
      </c>
      <c r="C399" t="s">
        <v>12</v>
      </c>
      <c r="D399">
        <v>474540</v>
      </c>
      <c r="E399" t="str">
        <f>"0474540"</f>
        <v>0474540</v>
      </c>
      <c r="F399">
        <v>14</v>
      </c>
      <c r="G399" t="s">
        <v>13</v>
      </c>
      <c r="H399">
        <v>2020</v>
      </c>
      <c r="I399" t="s">
        <v>14</v>
      </c>
      <c r="J399" t="s">
        <v>15</v>
      </c>
    </row>
    <row r="400" spans="1:10" x14ac:dyDescent="0.25">
      <c r="A400" t="s">
        <v>10</v>
      </c>
      <c r="B400" t="s">
        <v>411</v>
      </c>
      <c r="C400" t="s">
        <v>12</v>
      </c>
      <c r="D400">
        <v>474610</v>
      </c>
      <c r="E400" t="str">
        <f>"0474610"</f>
        <v>0474610</v>
      </c>
      <c r="F400">
        <v>1593</v>
      </c>
      <c r="G400" t="s">
        <v>13</v>
      </c>
      <c r="H400">
        <v>2020</v>
      </c>
      <c r="I400" t="s">
        <v>14</v>
      </c>
      <c r="J400" t="s">
        <v>15</v>
      </c>
    </row>
    <row r="401" spans="1:10" x14ac:dyDescent="0.25">
      <c r="A401" t="s">
        <v>10</v>
      </c>
      <c r="B401" t="s">
        <v>412</v>
      </c>
      <c r="C401" t="s">
        <v>12</v>
      </c>
      <c r="D401">
        <v>474665</v>
      </c>
      <c r="E401" t="str">
        <f>"0474665"</f>
        <v>0474665</v>
      </c>
      <c r="F401">
        <v>100</v>
      </c>
      <c r="G401" t="s">
        <v>13</v>
      </c>
      <c r="H401">
        <v>2020</v>
      </c>
      <c r="I401" t="s">
        <v>14</v>
      </c>
      <c r="J401" t="s">
        <v>15</v>
      </c>
    </row>
    <row r="402" spans="1:10" x14ac:dyDescent="0.25">
      <c r="A402" t="s">
        <v>10</v>
      </c>
      <c r="B402" t="s">
        <v>413</v>
      </c>
      <c r="C402" t="s">
        <v>12</v>
      </c>
      <c r="D402">
        <v>474680</v>
      </c>
      <c r="E402" t="str">
        <f>"0474680"</f>
        <v>0474680</v>
      </c>
      <c r="F402">
        <v>358</v>
      </c>
      <c r="G402" t="s">
        <v>13</v>
      </c>
      <c r="H402">
        <v>2020</v>
      </c>
      <c r="I402" t="s">
        <v>14</v>
      </c>
      <c r="J402" t="s">
        <v>15</v>
      </c>
    </row>
    <row r="403" spans="1:10" x14ac:dyDescent="0.25">
      <c r="A403" t="s">
        <v>10</v>
      </c>
      <c r="B403" t="s">
        <v>414</v>
      </c>
      <c r="C403" t="s">
        <v>12</v>
      </c>
      <c r="D403">
        <v>474750</v>
      </c>
      <c r="E403" t="str">
        <f>"0474750"</f>
        <v>0474750</v>
      </c>
      <c r="F403">
        <v>0</v>
      </c>
      <c r="G403" t="s">
        <v>13</v>
      </c>
      <c r="H403">
        <v>2020</v>
      </c>
      <c r="I403" t="s">
        <v>14</v>
      </c>
      <c r="J403" t="s">
        <v>15</v>
      </c>
    </row>
    <row r="404" spans="1:10" x14ac:dyDescent="0.25">
      <c r="A404" t="s">
        <v>10</v>
      </c>
      <c r="B404" t="s">
        <v>415</v>
      </c>
      <c r="C404" t="s">
        <v>12</v>
      </c>
      <c r="D404">
        <v>474820</v>
      </c>
      <c r="E404" t="str">
        <f>"0474820"</f>
        <v>0474820</v>
      </c>
      <c r="F404">
        <v>125</v>
      </c>
      <c r="G404" t="s">
        <v>13</v>
      </c>
      <c r="H404">
        <v>2020</v>
      </c>
      <c r="I404" t="s">
        <v>14</v>
      </c>
      <c r="J404" t="s">
        <v>15</v>
      </c>
    </row>
    <row r="405" spans="1:10" x14ac:dyDescent="0.25">
      <c r="A405" t="s">
        <v>10</v>
      </c>
      <c r="B405" t="s">
        <v>416</v>
      </c>
      <c r="C405" t="s">
        <v>12</v>
      </c>
      <c r="D405">
        <v>475310</v>
      </c>
      <c r="E405" t="str">
        <f>"0475310"</f>
        <v>0475310</v>
      </c>
      <c r="F405">
        <v>0</v>
      </c>
      <c r="G405" t="s">
        <v>13</v>
      </c>
      <c r="H405">
        <v>2020</v>
      </c>
      <c r="I405" t="s">
        <v>14</v>
      </c>
      <c r="J405" t="s">
        <v>15</v>
      </c>
    </row>
    <row r="406" spans="1:10" x14ac:dyDescent="0.25">
      <c r="A406" t="s">
        <v>10</v>
      </c>
      <c r="B406" t="s">
        <v>417</v>
      </c>
      <c r="C406" t="s">
        <v>12</v>
      </c>
      <c r="D406">
        <v>475590</v>
      </c>
      <c r="E406" t="str">
        <f>"0475590"</f>
        <v>0475590</v>
      </c>
      <c r="F406">
        <v>105</v>
      </c>
      <c r="G406" t="s">
        <v>13</v>
      </c>
      <c r="H406">
        <v>2020</v>
      </c>
      <c r="I406" t="s">
        <v>14</v>
      </c>
      <c r="J406" t="s">
        <v>15</v>
      </c>
    </row>
    <row r="407" spans="1:10" x14ac:dyDescent="0.25">
      <c r="A407" t="s">
        <v>10</v>
      </c>
      <c r="B407" t="s">
        <v>418</v>
      </c>
      <c r="C407" t="s">
        <v>12</v>
      </c>
      <c r="D407">
        <v>475660</v>
      </c>
      <c r="E407" t="str">
        <f>"0475660"</f>
        <v>0475660</v>
      </c>
      <c r="F407">
        <v>1667</v>
      </c>
      <c r="G407" t="s">
        <v>13</v>
      </c>
      <c r="H407">
        <v>2020</v>
      </c>
      <c r="I407" t="s">
        <v>14</v>
      </c>
      <c r="J407" t="s">
        <v>15</v>
      </c>
    </row>
    <row r="408" spans="1:10" x14ac:dyDescent="0.25">
      <c r="A408" t="s">
        <v>10</v>
      </c>
      <c r="B408" t="s">
        <v>419</v>
      </c>
      <c r="C408" t="s">
        <v>12</v>
      </c>
      <c r="D408">
        <v>475940</v>
      </c>
      <c r="E408" t="str">
        <f>"0475940"</f>
        <v>0475940</v>
      </c>
      <c r="F408">
        <v>1247</v>
      </c>
      <c r="G408" t="s">
        <v>13</v>
      </c>
      <c r="H408">
        <v>2020</v>
      </c>
      <c r="I408" t="s">
        <v>14</v>
      </c>
      <c r="J408" t="s">
        <v>15</v>
      </c>
    </row>
    <row r="409" spans="1:10" x14ac:dyDescent="0.25">
      <c r="A409" t="s">
        <v>10</v>
      </c>
      <c r="B409" t="s">
        <v>420</v>
      </c>
      <c r="C409" t="s">
        <v>12</v>
      </c>
      <c r="D409">
        <v>476010</v>
      </c>
      <c r="E409" t="str">
        <f>"0476010"</f>
        <v>0476010</v>
      </c>
      <c r="F409">
        <v>8265</v>
      </c>
      <c r="G409" t="s">
        <v>13</v>
      </c>
      <c r="H409">
        <v>2020</v>
      </c>
      <c r="I409" t="s">
        <v>14</v>
      </c>
      <c r="J409" t="s">
        <v>15</v>
      </c>
    </row>
    <row r="410" spans="1:10" x14ac:dyDescent="0.25">
      <c r="A410" t="s">
        <v>10</v>
      </c>
      <c r="B410" t="s">
        <v>421</v>
      </c>
      <c r="C410" t="s">
        <v>12</v>
      </c>
      <c r="D410">
        <v>477000</v>
      </c>
      <c r="E410" t="str">
        <f>"0477000"</f>
        <v>0477000</v>
      </c>
      <c r="F410">
        <v>543348</v>
      </c>
      <c r="G410" t="s">
        <v>13</v>
      </c>
      <c r="H410">
        <v>2020</v>
      </c>
      <c r="I410" t="s">
        <v>14</v>
      </c>
      <c r="J410" t="s">
        <v>15</v>
      </c>
    </row>
    <row r="411" spans="1:10" x14ac:dyDescent="0.25">
      <c r="A411" t="s">
        <v>10</v>
      </c>
      <c r="B411" t="s">
        <v>422</v>
      </c>
      <c r="C411" t="s">
        <v>12</v>
      </c>
      <c r="D411">
        <v>477035</v>
      </c>
      <c r="E411" t="str">
        <f>"0477035"</f>
        <v>0477035</v>
      </c>
      <c r="F411">
        <v>12687</v>
      </c>
      <c r="G411" t="s">
        <v>13</v>
      </c>
      <c r="H411">
        <v>2020</v>
      </c>
      <c r="I411" t="s">
        <v>14</v>
      </c>
      <c r="J411" t="s">
        <v>15</v>
      </c>
    </row>
    <row r="412" spans="1:10" x14ac:dyDescent="0.25">
      <c r="A412" t="s">
        <v>10</v>
      </c>
      <c r="B412" t="s">
        <v>423</v>
      </c>
      <c r="C412" t="s">
        <v>12</v>
      </c>
      <c r="D412">
        <v>477179</v>
      </c>
      <c r="E412" t="str">
        <f>"0477179"</f>
        <v>0477179</v>
      </c>
      <c r="F412">
        <v>11428</v>
      </c>
      <c r="G412" t="s">
        <v>13</v>
      </c>
      <c r="H412">
        <v>2020</v>
      </c>
      <c r="I412" t="s">
        <v>14</v>
      </c>
      <c r="J412" t="s">
        <v>15</v>
      </c>
    </row>
    <row r="413" spans="1:10" x14ac:dyDescent="0.25">
      <c r="A413" t="s">
        <v>10</v>
      </c>
      <c r="B413" t="s">
        <v>424</v>
      </c>
      <c r="C413" t="s">
        <v>12</v>
      </c>
      <c r="D413">
        <v>477367</v>
      </c>
      <c r="E413" t="str">
        <f>"0477367"</f>
        <v>0477367</v>
      </c>
      <c r="F413">
        <v>162</v>
      </c>
      <c r="G413" t="s">
        <v>13</v>
      </c>
      <c r="H413">
        <v>2020</v>
      </c>
      <c r="I413" t="s">
        <v>14</v>
      </c>
      <c r="J413" t="s">
        <v>15</v>
      </c>
    </row>
    <row r="414" spans="1:10" x14ac:dyDescent="0.25">
      <c r="A414" t="s">
        <v>10</v>
      </c>
      <c r="B414" t="s">
        <v>425</v>
      </c>
      <c r="C414" t="s">
        <v>12</v>
      </c>
      <c r="D414">
        <v>477415</v>
      </c>
      <c r="E414" t="str">
        <f>"0477415"</f>
        <v>0477415</v>
      </c>
      <c r="F414">
        <v>474</v>
      </c>
      <c r="G414" t="s">
        <v>13</v>
      </c>
      <c r="H414">
        <v>2020</v>
      </c>
      <c r="I414" t="s">
        <v>14</v>
      </c>
      <c r="J414" t="s">
        <v>15</v>
      </c>
    </row>
    <row r="415" spans="1:10" x14ac:dyDescent="0.25">
      <c r="A415" t="s">
        <v>10</v>
      </c>
      <c r="B415" t="s">
        <v>426</v>
      </c>
      <c r="C415" t="s">
        <v>12</v>
      </c>
      <c r="D415">
        <v>477490</v>
      </c>
      <c r="E415" t="str">
        <f>"0477490"</f>
        <v>0477490</v>
      </c>
      <c r="F415">
        <v>374</v>
      </c>
      <c r="G415" t="s">
        <v>13</v>
      </c>
      <c r="H415">
        <v>2020</v>
      </c>
      <c r="I415" t="s">
        <v>14</v>
      </c>
      <c r="J415" t="s">
        <v>15</v>
      </c>
    </row>
    <row r="416" spans="1:10" x14ac:dyDescent="0.25">
      <c r="A416" t="s">
        <v>10</v>
      </c>
      <c r="B416" t="s">
        <v>427</v>
      </c>
      <c r="C416" t="s">
        <v>12</v>
      </c>
      <c r="D416">
        <v>478300</v>
      </c>
      <c r="E416" t="str">
        <f>"0478300"</f>
        <v>0478300</v>
      </c>
      <c r="F416">
        <v>496</v>
      </c>
      <c r="G416" t="s">
        <v>13</v>
      </c>
      <c r="H416">
        <v>2020</v>
      </c>
      <c r="I416" t="s">
        <v>14</v>
      </c>
      <c r="J416" t="s">
        <v>15</v>
      </c>
    </row>
    <row r="417" spans="1:10" x14ac:dyDescent="0.25">
      <c r="A417" t="s">
        <v>10</v>
      </c>
      <c r="B417" t="s">
        <v>428</v>
      </c>
      <c r="C417" t="s">
        <v>12</v>
      </c>
      <c r="D417">
        <v>478400</v>
      </c>
      <c r="E417" t="str">
        <f>"0478400"</f>
        <v>0478400</v>
      </c>
      <c r="F417">
        <v>0</v>
      </c>
      <c r="G417" t="s">
        <v>13</v>
      </c>
      <c r="H417">
        <v>2020</v>
      </c>
      <c r="I417" t="s">
        <v>14</v>
      </c>
      <c r="J417" t="s">
        <v>15</v>
      </c>
    </row>
    <row r="418" spans="1:10" x14ac:dyDescent="0.25">
      <c r="A418" t="s">
        <v>10</v>
      </c>
      <c r="B418" t="s">
        <v>429</v>
      </c>
      <c r="C418" t="s">
        <v>12</v>
      </c>
      <c r="D418">
        <v>478540</v>
      </c>
      <c r="E418" t="str">
        <f>"0478540"</f>
        <v>0478540</v>
      </c>
      <c r="F418">
        <v>15722</v>
      </c>
      <c r="G418" t="s">
        <v>13</v>
      </c>
      <c r="H418">
        <v>2020</v>
      </c>
      <c r="I418" t="s">
        <v>14</v>
      </c>
      <c r="J418" t="s">
        <v>15</v>
      </c>
    </row>
    <row r="419" spans="1:10" x14ac:dyDescent="0.25">
      <c r="A419" t="s">
        <v>10</v>
      </c>
      <c r="B419" t="s">
        <v>430</v>
      </c>
      <c r="C419" t="s">
        <v>12</v>
      </c>
      <c r="D419">
        <v>478680</v>
      </c>
      <c r="E419" t="str">
        <f>"0478680"</f>
        <v>0478680</v>
      </c>
      <c r="F419">
        <v>155</v>
      </c>
      <c r="G419" t="s">
        <v>13</v>
      </c>
      <c r="H419">
        <v>2020</v>
      </c>
      <c r="I419" t="s">
        <v>14</v>
      </c>
      <c r="J419" t="s">
        <v>15</v>
      </c>
    </row>
    <row r="420" spans="1:10" x14ac:dyDescent="0.25">
      <c r="A420" t="s">
        <v>10</v>
      </c>
      <c r="B420" t="s">
        <v>431</v>
      </c>
      <c r="C420" t="s">
        <v>12</v>
      </c>
      <c r="D420">
        <v>478760</v>
      </c>
      <c r="E420" t="str">
        <f>"0478760"</f>
        <v>0478760</v>
      </c>
      <c r="F420">
        <v>13834</v>
      </c>
      <c r="G420" t="s">
        <v>13</v>
      </c>
      <c r="H420">
        <v>2020</v>
      </c>
      <c r="I420" t="s">
        <v>14</v>
      </c>
      <c r="J420" t="s">
        <v>15</v>
      </c>
    </row>
    <row r="421" spans="1:10" x14ac:dyDescent="0.25">
      <c r="A421" t="s">
        <v>10</v>
      </c>
      <c r="B421" t="s">
        <v>432</v>
      </c>
      <c r="C421" t="s">
        <v>12</v>
      </c>
      <c r="D421">
        <v>478820</v>
      </c>
      <c r="E421" t="str">
        <f>"0478820"</f>
        <v>0478820</v>
      </c>
      <c r="F421">
        <v>43</v>
      </c>
      <c r="G421" t="s">
        <v>13</v>
      </c>
      <c r="H421">
        <v>2020</v>
      </c>
      <c r="I421" t="s">
        <v>14</v>
      </c>
      <c r="J421" t="s">
        <v>15</v>
      </c>
    </row>
    <row r="422" spans="1:10" x14ac:dyDescent="0.25">
      <c r="A422" t="s">
        <v>10</v>
      </c>
      <c r="B422" t="s">
        <v>433</v>
      </c>
      <c r="C422" t="s">
        <v>12</v>
      </c>
      <c r="D422">
        <v>478855</v>
      </c>
      <c r="E422" t="str">
        <f>"0478855"</f>
        <v>0478855</v>
      </c>
      <c r="F422">
        <v>403</v>
      </c>
      <c r="G422" t="s">
        <v>13</v>
      </c>
      <c r="H422">
        <v>2020</v>
      </c>
      <c r="I422" t="s">
        <v>14</v>
      </c>
      <c r="J422" t="s">
        <v>15</v>
      </c>
    </row>
    <row r="423" spans="1:10" x14ac:dyDescent="0.25">
      <c r="A423" t="s">
        <v>10</v>
      </c>
      <c r="B423" t="s">
        <v>434</v>
      </c>
      <c r="C423" t="s">
        <v>12</v>
      </c>
      <c r="D423">
        <v>478865</v>
      </c>
      <c r="E423" t="str">
        <f>"0478865"</f>
        <v>0478865</v>
      </c>
      <c r="F423">
        <v>2376</v>
      </c>
      <c r="G423" t="s">
        <v>13</v>
      </c>
      <c r="H423">
        <v>2020</v>
      </c>
      <c r="I423" t="s">
        <v>14</v>
      </c>
      <c r="J423" t="s">
        <v>15</v>
      </c>
    </row>
    <row r="424" spans="1:10" x14ac:dyDescent="0.25">
      <c r="A424" t="s">
        <v>10</v>
      </c>
      <c r="B424" t="s">
        <v>435</v>
      </c>
      <c r="C424" t="s">
        <v>12</v>
      </c>
      <c r="D424">
        <v>479590</v>
      </c>
      <c r="E424" t="str">
        <f>"0479590"</f>
        <v>0479590</v>
      </c>
      <c r="F424">
        <v>74</v>
      </c>
      <c r="G424" t="s">
        <v>13</v>
      </c>
      <c r="H424">
        <v>2020</v>
      </c>
      <c r="I424" t="s">
        <v>14</v>
      </c>
      <c r="J424" t="s">
        <v>15</v>
      </c>
    </row>
    <row r="425" spans="1:10" x14ac:dyDescent="0.25">
      <c r="A425" t="s">
        <v>10</v>
      </c>
      <c r="B425" t="s">
        <v>436</v>
      </c>
      <c r="C425" t="s">
        <v>12</v>
      </c>
      <c r="D425">
        <v>479830</v>
      </c>
      <c r="E425" t="str">
        <f>"0479830"</f>
        <v>0479830</v>
      </c>
      <c r="F425">
        <v>12662</v>
      </c>
      <c r="G425" t="s">
        <v>13</v>
      </c>
      <c r="H425">
        <v>2020</v>
      </c>
      <c r="I425" t="s">
        <v>14</v>
      </c>
      <c r="J425" t="s">
        <v>15</v>
      </c>
    </row>
    <row r="426" spans="1:10" x14ac:dyDescent="0.25">
      <c r="A426" t="s">
        <v>10</v>
      </c>
      <c r="B426" t="s">
        <v>437</v>
      </c>
      <c r="C426" t="s">
        <v>12</v>
      </c>
      <c r="D426">
        <v>479870</v>
      </c>
      <c r="E426" t="str">
        <f>"0479870"</f>
        <v>0479870</v>
      </c>
      <c r="F426">
        <v>230</v>
      </c>
      <c r="G426" t="s">
        <v>13</v>
      </c>
      <c r="H426">
        <v>2020</v>
      </c>
      <c r="I426" t="s">
        <v>14</v>
      </c>
      <c r="J426" t="s">
        <v>15</v>
      </c>
    </row>
    <row r="427" spans="1:10" x14ac:dyDescent="0.25">
      <c r="A427" t="s">
        <v>10</v>
      </c>
      <c r="B427" t="s">
        <v>438</v>
      </c>
      <c r="C427" t="s">
        <v>12</v>
      </c>
      <c r="D427">
        <v>479940</v>
      </c>
      <c r="E427" t="str">
        <f>"0479940"</f>
        <v>0479940</v>
      </c>
      <c r="F427">
        <v>628</v>
      </c>
      <c r="G427" t="s">
        <v>13</v>
      </c>
      <c r="H427">
        <v>2020</v>
      </c>
      <c r="I427" t="s">
        <v>14</v>
      </c>
      <c r="J427" t="s">
        <v>15</v>
      </c>
    </row>
    <row r="428" spans="1:10" x14ac:dyDescent="0.25">
      <c r="A428" t="s">
        <v>10</v>
      </c>
      <c r="B428" t="s">
        <v>439</v>
      </c>
      <c r="C428" t="s">
        <v>12</v>
      </c>
      <c r="D428">
        <v>480095</v>
      </c>
      <c r="E428" t="str">
        <f>"0480095"</f>
        <v>0480095</v>
      </c>
      <c r="F428">
        <v>6340</v>
      </c>
      <c r="G428" t="s">
        <v>13</v>
      </c>
      <c r="H428">
        <v>2020</v>
      </c>
      <c r="I428" t="s">
        <v>14</v>
      </c>
      <c r="J428" t="s">
        <v>15</v>
      </c>
    </row>
    <row r="429" spans="1:10" x14ac:dyDescent="0.25">
      <c r="A429" t="s">
        <v>10</v>
      </c>
      <c r="B429" t="s">
        <v>440</v>
      </c>
      <c r="C429" t="s">
        <v>12</v>
      </c>
      <c r="D429">
        <v>480380</v>
      </c>
      <c r="E429" t="str">
        <f>"0480380"</f>
        <v>0480380</v>
      </c>
      <c r="F429">
        <v>1767</v>
      </c>
      <c r="G429" t="s">
        <v>13</v>
      </c>
      <c r="H429">
        <v>2020</v>
      </c>
      <c r="I429" t="s">
        <v>14</v>
      </c>
      <c r="J429" t="s">
        <v>15</v>
      </c>
    </row>
    <row r="430" spans="1:10" x14ac:dyDescent="0.25">
      <c r="A430" t="s">
        <v>10</v>
      </c>
      <c r="B430" t="s">
        <v>441</v>
      </c>
      <c r="C430" t="s">
        <v>12</v>
      </c>
      <c r="D430">
        <v>480430</v>
      </c>
      <c r="E430" t="str">
        <f>"0480430"</f>
        <v>0480430</v>
      </c>
      <c r="F430">
        <v>82</v>
      </c>
      <c r="G430" t="s">
        <v>13</v>
      </c>
      <c r="H430">
        <v>2020</v>
      </c>
      <c r="I430" t="s">
        <v>14</v>
      </c>
      <c r="J430" t="s">
        <v>15</v>
      </c>
    </row>
    <row r="431" spans="1:10" x14ac:dyDescent="0.25">
      <c r="A431" t="s">
        <v>10</v>
      </c>
      <c r="B431" t="s">
        <v>442</v>
      </c>
      <c r="C431" t="s">
        <v>12</v>
      </c>
      <c r="D431">
        <v>480790</v>
      </c>
      <c r="E431" t="str">
        <f>"0480790"</f>
        <v>0480790</v>
      </c>
      <c r="F431">
        <v>384</v>
      </c>
      <c r="G431" t="s">
        <v>13</v>
      </c>
      <c r="H431">
        <v>2020</v>
      </c>
      <c r="I431" t="s">
        <v>14</v>
      </c>
      <c r="J431" t="s">
        <v>15</v>
      </c>
    </row>
    <row r="432" spans="1:10" x14ac:dyDescent="0.25">
      <c r="A432" t="s">
        <v>10</v>
      </c>
      <c r="B432" t="s">
        <v>443</v>
      </c>
      <c r="C432" t="s">
        <v>12</v>
      </c>
      <c r="D432">
        <v>480825</v>
      </c>
      <c r="E432" t="str">
        <f>"0480825"</f>
        <v>0480825</v>
      </c>
      <c r="F432">
        <v>581</v>
      </c>
      <c r="G432" t="s">
        <v>13</v>
      </c>
      <c r="H432">
        <v>2020</v>
      </c>
      <c r="I432" t="s">
        <v>14</v>
      </c>
      <c r="J432" t="s">
        <v>15</v>
      </c>
    </row>
    <row r="433" spans="1:10" x14ac:dyDescent="0.25">
      <c r="A433" t="s">
        <v>10</v>
      </c>
      <c r="B433" t="s">
        <v>444</v>
      </c>
      <c r="C433" t="s">
        <v>12</v>
      </c>
      <c r="D433">
        <v>481175</v>
      </c>
      <c r="E433" t="str">
        <f>"0481175"</f>
        <v>0481175</v>
      </c>
      <c r="F433">
        <v>16</v>
      </c>
      <c r="G433" t="s">
        <v>13</v>
      </c>
      <c r="H433">
        <v>2020</v>
      </c>
      <c r="I433" t="s">
        <v>14</v>
      </c>
      <c r="J433" t="s">
        <v>15</v>
      </c>
    </row>
    <row r="434" spans="1:10" x14ac:dyDescent="0.25">
      <c r="A434" t="s">
        <v>10</v>
      </c>
      <c r="B434" t="s">
        <v>445</v>
      </c>
      <c r="C434" t="s">
        <v>12</v>
      </c>
      <c r="D434">
        <v>481480</v>
      </c>
      <c r="E434" t="str">
        <f>"0481480"</f>
        <v>0481480</v>
      </c>
      <c r="F434">
        <v>2470</v>
      </c>
      <c r="G434" t="s">
        <v>13</v>
      </c>
      <c r="H434">
        <v>2020</v>
      </c>
      <c r="I434" t="s">
        <v>14</v>
      </c>
      <c r="J434" t="s">
        <v>15</v>
      </c>
    </row>
    <row r="435" spans="1:10" x14ac:dyDescent="0.25">
      <c r="A435" t="s">
        <v>10</v>
      </c>
      <c r="B435" t="s">
        <v>446</v>
      </c>
      <c r="C435" t="s">
        <v>12</v>
      </c>
      <c r="D435">
        <v>481490</v>
      </c>
      <c r="E435" t="str">
        <f>"0481490"</f>
        <v>0481490</v>
      </c>
      <c r="F435">
        <v>249</v>
      </c>
      <c r="G435" t="s">
        <v>13</v>
      </c>
      <c r="H435">
        <v>2020</v>
      </c>
      <c r="I435" t="s">
        <v>14</v>
      </c>
      <c r="J435" t="s">
        <v>15</v>
      </c>
    </row>
    <row r="436" spans="1:10" x14ac:dyDescent="0.25">
      <c r="A436" t="s">
        <v>10</v>
      </c>
      <c r="B436" t="s">
        <v>447</v>
      </c>
      <c r="C436" t="s">
        <v>12</v>
      </c>
      <c r="D436">
        <v>481550</v>
      </c>
      <c r="E436" t="str">
        <f>"0481550"</f>
        <v>0481550</v>
      </c>
      <c r="F436">
        <v>412</v>
      </c>
      <c r="G436" t="s">
        <v>13</v>
      </c>
      <c r="H436">
        <v>2020</v>
      </c>
      <c r="I436" t="s">
        <v>14</v>
      </c>
      <c r="J436" t="s">
        <v>15</v>
      </c>
    </row>
    <row r="437" spans="1:10" x14ac:dyDescent="0.25">
      <c r="A437" t="s">
        <v>10</v>
      </c>
      <c r="B437" t="s">
        <v>448</v>
      </c>
      <c r="C437" t="s">
        <v>12</v>
      </c>
      <c r="D437">
        <v>482060</v>
      </c>
      <c r="E437" t="str">
        <f>"0482060"</f>
        <v>0482060</v>
      </c>
      <c r="F437">
        <v>179</v>
      </c>
      <c r="G437" t="s">
        <v>13</v>
      </c>
      <c r="H437">
        <v>2020</v>
      </c>
      <c r="I437" t="s">
        <v>14</v>
      </c>
      <c r="J437" t="s">
        <v>15</v>
      </c>
    </row>
    <row r="438" spans="1:10" x14ac:dyDescent="0.25">
      <c r="A438" t="s">
        <v>10</v>
      </c>
      <c r="B438" t="s">
        <v>449</v>
      </c>
      <c r="C438" t="s">
        <v>12</v>
      </c>
      <c r="D438">
        <v>482120</v>
      </c>
      <c r="E438" t="str">
        <f>"0482120"</f>
        <v>0482120</v>
      </c>
      <c r="F438">
        <v>409</v>
      </c>
      <c r="G438" t="s">
        <v>13</v>
      </c>
      <c r="H438">
        <v>2020</v>
      </c>
      <c r="I438" t="s">
        <v>14</v>
      </c>
      <c r="J438" t="s">
        <v>15</v>
      </c>
    </row>
    <row r="439" spans="1:10" x14ac:dyDescent="0.25">
      <c r="A439" t="s">
        <v>10</v>
      </c>
      <c r="B439" t="s">
        <v>450</v>
      </c>
      <c r="C439" t="s">
        <v>12</v>
      </c>
      <c r="D439">
        <v>482156</v>
      </c>
      <c r="E439" t="str">
        <f>"0482156"</f>
        <v>0482156</v>
      </c>
      <c r="F439">
        <v>2840</v>
      </c>
      <c r="G439" t="s">
        <v>13</v>
      </c>
      <c r="H439">
        <v>2020</v>
      </c>
      <c r="I439" t="s">
        <v>14</v>
      </c>
      <c r="J439" t="s">
        <v>15</v>
      </c>
    </row>
    <row r="440" spans="1:10" x14ac:dyDescent="0.25">
      <c r="A440" t="s">
        <v>10</v>
      </c>
      <c r="B440" t="s">
        <v>451</v>
      </c>
      <c r="C440" t="s">
        <v>12</v>
      </c>
      <c r="D440">
        <v>482270</v>
      </c>
      <c r="E440" t="str">
        <f>"0482270"</f>
        <v>0482270</v>
      </c>
      <c r="F440">
        <v>141</v>
      </c>
      <c r="G440" t="s">
        <v>13</v>
      </c>
      <c r="H440">
        <v>2020</v>
      </c>
      <c r="I440" t="s">
        <v>14</v>
      </c>
      <c r="J440" t="s">
        <v>15</v>
      </c>
    </row>
    <row r="441" spans="1:10" x14ac:dyDescent="0.25">
      <c r="A441" t="s">
        <v>10</v>
      </c>
      <c r="B441" t="s">
        <v>452</v>
      </c>
      <c r="C441" t="s">
        <v>12</v>
      </c>
      <c r="D441">
        <v>482390</v>
      </c>
      <c r="E441" t="str">
        <f>"0482390"</f>
        <v>0482390</v>
      </c>
      <c r="F441">
        <v>942</v>
      </c>
      <c r="G441" t="s">
        <v>13</v>
      </c>
      <c r="H441">
        <v>2020</v>
      </c>
      <c r="I441" t="s">
        <v>14</v>
      </c>
      <c r="J441" t="s">
        <v>15</v>
      </c>
    </row>
    <row r="442" spans="1:10" x14ac:dyDescent="0.25">
      <c r="A442" t="s">
        <v>10</v>
      </c>
      <c r="B442" t="s">
        <v>453</v>
      </c>
      <c r="C442" t="s">
        <v>12</v>
      </c>
      <c r="D442">
        <v>482425</v>
      </c>
      <c r="E442" t="str">
        <f>"0482425"</f>
        <v>0482425</v>
      </c>
      <c r="F442">
        <v>332</v>
      </c>
      <c r="G442" t="s">
        <v>13</v>
      </c>
      <c r="H442">
        <v>2020</v>
      </c>
      <c r="I442" t="s">
        <v>14</v>
      </c>
      <c r="J442" t="s">
        <v>15</v>
      </c>
    </row>
    <row r="443" spans="1:10" x14ac:dyDescent="0.25">
      <c r="A443" t="s">
        <v>10</v>
      </c>
      <c r="B443" t="s">
        <v>454</v>
      </c>
      <c r="C443" t="s">
        <v>12</v>
      </c>
      <c r="D443">
        <v>482450</v>
      </c>
      <c r="E443" t="str">
        <f>"0482450"</f>
        <v>0482450</v>
      </c>
      <c r="F443">
        <v>2678</v>
      </c>
      <c r="G443" t="s">
        <v>13</v>
      </c>
      <c r="H443">
        <v>2020</v>
      </c>
      <c r="I443" t="s">
        <v>14</v>
      </c>
      <c r="J443" t="s">
        <v>15</v>
      </c>
    </row>
    <row r="444" spans="1:10" x14ac:dyDescent="0.25">
      <c r="A444" t="s">
        <v>10</v>
      </c>
      <c r="B444" t="s">
        <v>455</v>
      </c>
      <c r="C444" t="s">
        <v>12</v>
      </c>
      <c r="D444">
        <v>482530</v>
      </c>
      <c r="E444" t="str">
        <f>"0482530"</f>
        <v>0482530</v>
      </c>
      <c r="F444">
        <v>4308</v>
      </c>
      <c r="G444" t="s">
        <v>13</v>
      </c>
      <c r="H444">
        <v>2020</v>
      </c>
      <c r="I444" t="s">
        <v>14</v>
      </c>
      <c r="J444" t="s">
        <v>15</v>
      </c>
    </row>
    <row r="445" spans="1:10" x14ac:dyDescent="0.25">
      <c r="A445" t="s">
        <v>10</v>
      </c>
      <c r="B445" t="s">
        <v>456</v>
      </c>
      <c r="C445" t="s">
        <v>12</v>
      </c>
      <c r="D445">
        <v>482670</v>
      </c>
      <c r="E445" t="str">
        <f>"0482670"</f>
        <v>0482670</v>
      </c>
      <c r="F445">
        <v>87</v>
      </c>
      <c r="G445" t="s">
        <v>13</v>
      </c>
      <c r="H445">
        <v>2020</v>
      </c>
      <c r="I445" t="s">
        <v>14</v>
      </c>
      <c r="J445" t="s">
        <v>15</v>
      </c>
    </row>
    <row r="446" spans="1:10" x14ac:dyDescent="0.25">
      <c r="A446" t="s">
        <v>10</v>
      </c>
      <c r="B446" t="s">
        <v>457</v>
      </c>
      <c r="C446" t="s">
        <v>12</v>
      </c>
      <c r="D446">
        <v>482740</v>
      </c>
      <c r="E446" t="str">
        <f>"0482740"</f>
        <v>0482740</v>
      </c>
      <c r="F446">
        <v>7468</v>
      </c>
      <c r="G446" t="s">
        <v>13</v>
      </c>
      <c r="H446">
        <v>2020</v>
      </c>
      <c r="I446" t="s">
        <v>14</v>
      </c>
      <c r="J446" t="s">
        <v>15</v>
      </c>
    </row>
    <row r="447" spans="1:10" x14ac:dyDescent="0.25">
      <c r="A447" t="s">
        <v>10</v>
      </c>
      <c r="B447" t="s">
        <v>458</v>
      </c>
      <c r="C447" t="s">
        <v>12</v>
      </c>
      <c r="D447">
        <v>482810</v>
      </c>
      <c r="E447" t="str">
        <f>"0482810"</f>
        <v>0482810</v>
      </c>
      <c r="F447">
        <v>28</v>
      </c>
      <c r="G447" t="s">
        <v>13</v>
      </c>
      <c r="H447">
        <v>2020</v>
      </c>
      <c r="I447" t="s">
        <v>14</v>
      </c>
      <c r="J447" t="s">
        <v>15</v>
      </c>
    </row>
    <row r="448" spans="1:10" x14ac:dyDescent="0.25">
      <c r="A448" t="s">
        <v>10</v>
      </c>
      <c r="B448" t="s">
        <v>459</v>
      </c>
      <c r="C448" t="s">
        <v>12</v>
      </c>
      <c r="D448">
        <v>482880</v>
      </c>
      <c r="E448" t="str">
        <f>"0482880"</f>
        <v>0482880</v>
      </c>
      <c r="F448">
        <v>74</v>
      </c>
      <c r="G448" t="s">
        <v>13</v>
      </c>
      <c r="H448">
        <v>2020</v>
      </c>
      <c r="I448" t="s">
        <v>14</v>
      </c>
      <c r="J448" t="s">
        <v>15</v>
      </c>
    </row>
    <row r="449" spans="1:10" x14ac:dyDescent="0.25">
      <c r="A449" t="s">
        <v>10</v>
      </c>
      <c r="B449" t="s">
        <v>460</v>
      </c>
      <c r="C449" t="s">
        <v>12</v>
      </c>
      <c r="D449">
        <v>482950</v>
      </c>
      <c r="E449" t="str">
        <f>"0482950"</f>
        <v>0482950</v>
      </c>
      <c r="F449">
        <v>1027</v>
      </c>
      <c r="G449" t="s">
        <v>13</v>
      </c>
      <c r="H449">
        <v>2020</v>
      </c>
      <c r="I449" t="s">
        <v>14</v>
      </c>
      <c r="J449" t="s">
        <v>15</v>
      </c>
    </row>
    <row r="450" spans="1:10" x14ac:dyDescent="0.25">
      <c r="A450" t="s">
        <v>10</v>
      </c>
      <c r="B450" t="s">
        <v>461</v>
      </c>
      <c r="C450" t="s">
        <v>12</v>
      </c>
      <c r="D450">
        <v>483090</v>
      </c>
      <c r="E450" t="str">
        <f>"0483090"</f>
        <v>0483090</v>
      </c>
      <c r="F450">
        <v>3236</v>
      </c>
      <c r="G450" t="s">
        <v>13</v>
      </c>
      <c r="H450">
        <v>2020</v>
      </c>
      <c r="I450" t="s">
        <v>14</v>
      </c>
      <c r="J450" t="s">
        <v>15</v>
      </c>
    </row>
    <row r="451" spans="1:10" x14ac:dyDescent="0.25">
      <c r="A451" t="s">
        <v>10</v>
      </c>
      <c r="B451" t="s">
        <v>462</v>
      </c>
      <c r="C451" t="s">
        <v>12</v>
      </c>
      <c r="D451">
        <v>483160</v>
      </c>
      <c r="E451" t="str">
        <f>"0483160"</f>
        <v>0483160</v>
      </c>
      <c r="F451">
        <v>3322</v>
      </c>
      <c r="G451" t="s">
        <v>13</v>
      </c>
      <c r="H451">
        <v>2020</v>
      </c>
      <c r="I451" t="s">
        <v>14</v>
      </c>
      <c r="J451" t="s">
        <v>15</v>
      </c>
    </row>
    <row r="452" spans="1:10" x14ac:dyDescent="0.25">
      <c r="A452" t="s">
        <v>10</v>
      </c>
      <c r="B452" t="s">
        <v>463</v>
      </c>
      <c r="C452" t="s">
        <v>12</v>
      </c>
      <c r="D452">
        <v>483388</v>
      </c>
      <c r="E452" t="str">
        <f>"0483388"</f>
        <v>0483388</v>
      </c>
      <c r="F452">
        <v>6112</v>
      </c>
      <c r="G452" t="s">
        <v>13</v>
      </c>
      <c r="H452">
        <v>2020</v>
      </c>
      <c r="I452" t="s">
        <v>14</v>
      </c>
      <c r="J452" t="s">
        <v>15</v>
      </c>
    </row>
    <row r="453" spans="1:10" x14ac:dyDescent="0.25">
      <c r="A453" t="s">
        <v>10</v>
      </c>
      <c r="B453" t="s">
        <v>464</v>
      </c>
      <c r="C453" t="s">
        <v>12</v>
      </c>
      <c r="D453">
        <v>483475</v>
      </c>
      <c r="E453" t="str">
        <f>"0483475"</f>
        <v>0483475</v>
      </c>
      <c r="F453">
        <v>0</v>
      </c>
      <c r="G453" t="s">
        <v>13</v>
      </c>
      <c r="H453">
        <v>2020</v>
      </c>
      <c r="I453" t="s">
        <v>14</v>
      </c>
      <c r="J453" t="s">
        <v>15</v>
      </c>
    </row>
    <row r="454" spans="1:10" x14ac:dyDescent="0.25">
      <c r="A454" t="s">
        <v>10</v>
      </c>
      <c r="B454" t="s">
        <v>465</v>
      </c>
      <c r="C454" t="s">
        <v>12</v>
      </c>
      <c r="D454">
        <v>483570</v>
      </c>
      <c r="E454" t="str">
        <f>"0483570"</f>
        <v>0483570</v>
      </c>
      <c r="F454">
        <v>817</v>
      </c>
      <c r="G454" t="s">
        <v>13</v>
      </c>
      <c r="H454">
        <v>2020</v>
      </c>
      <c r="I454" t="s">
        <v>14</v>
      </c>
      <c r="J454" t="s">
        <v>15</v>
      </c>
    </row>
    <row r="455" spans="1:10" x14ac:dyDescent="0.25">
      <c r="A455" t="s">
        <v>10</v>
      </c>
      <c r="B455" t="s">
        <v>466</v>
      </c>
      <c r="C455" t="s">
        <v>12</v>
      </c>
      <c r="D455">
        <v>483720</v>
      </c>
      <c r="E455" t="str">
        <f>"0483720"</f>
        <v>0483720</v>
      </c>
      <c r="F455">
        <v>2384</v>
      </c>
      <c r="G455" t="s">
        <v>13</v>
      </c>
      <c r="H455">
        <v>2020</v>
      </c>
      <c r="I455" t="s">
        <v>14</v>
      </c>
      <c r="J455" t="s">
        <v>15</v>
      </c>
    </row>
    <row r="456" spans="1:10" x14ac:dyDescent="0.25">
      <c r="A456" t="s">
        <v>10</v>
      </c>
      <c r="B456" t="s">
        <v>467</v>
      </c>
      <c r="C456" t="s">
        <v>12</v>
      </c>
      <c r="D456">
        <v>483790</v>
      </c>
      <c r="E456" t="str">
        <f>"0483790"</f>
        <v>0483790</v>
      </c>
      <c r="F456">
        <v>226</v>
      </c>
      <c r="G456" t="s">
        <v>13</v>
      </c>
      <c r="H456">
        <v>2020</v>
      </c>
      <c r="I456" t="s">
        <v>14</v>
      </c>
      <c r="J456" t="s">
        <v>15</v>
      </c>
    </row>
    <row r="457" spans="1:10" x14ac:dyDescent="0.25">
      <c r="A457" t="s">
        <v>10</v>
      </c>
      <c r="B457" t="s">
        <v>468</v>
      </c>
      <c r="C457" t="s">
        <v>12</v>
      </c>
      <c r="D457">
        <v>483930</v>
      </c>
      <c r="E457" t="str">
        <f>"0483930"</f>
        <v>0483930</v>
      </c>
      <c r="F457">
        <v>8831</v>
      </c>
      <c r="G457" t="s">
        <v>13</v>
      </c>
      <c r="H457">
        <v>2020</v>
      </c>
      <c r="I457" t="s">
        <v>14</v>
      </c>
      <c r="J457" t="s">
        <v>15</v>
      </c>
    </row>
    <row r="458" spans="1:10" x14ac:dyDescent="0.25">
      <c r="A458" t="s">
        <v>10</v>
      </c>
      <c r="B458" t="s">
        <v>469</v>
      </c>
      <c r="C458" t="s">
        <v>12</v>
      </c>
      <c r="D458">
        <v>483960</v>
      </c>
      <c r="E458" t="str">
        <f>"0483960"</f>
        <v>0483960</v>
      </c>
      <c r="F458">
        <v>330</v>
      </c>
      <c r="G458" t="s">
        <v>13</v>
      </c>
      <c r="H458">
        <v>2020</v>
      </c>
      <c r="I458" t="s">
        <v>14</v>
      </c>
      <c r="J458" t="s">
        <v>15</v>
      </c>
    </row>
    <row r="459" spans="1:10" x14ac:dyDescent="0.25">
      <c r="A459" t="s">
        <v>10</v>
      </c>
      <c r="B459" t="s">
        <v>470</v>
      </c>
      <c r="C459" t="s">
        <v>12</v>
      </c>
      <c r="D459">
        <v>484000</v>
      </c>
      <c r="E459" t="str">
        <f>"0484000"</f>
        <v>0484000</v>
      </c>
      <c r="F459">
        <v>110</v>
      </c>
      <c r="G459" t="s">
        <v>13</v>
      </c>
      <c r="H459">
        <v>2020</v>
      </c>
      <c r="I459" t="s">
        <v>14</v>
      </c>
      <c r="J459" t="s">
        <v>15</v>
      </c>
    </row>
    <row r="460" spans="1:10" x14ac:dyDescent="0.25">
      <c r="A460" t="s">
        <v>10</v>
      </c>
      <c r="B460" t="s">
        <v>471</v>
      </c>
      <c r="C460" t="s">
        <v>12</v>
      </c>
      <c r="D460">
        <v>484140</v>
      </c>
      <c r="E460" t="str">
        <f>"0484140"</f>
        <v>0484140</v>
      </c>
      <c r="F460">
        <v>606</v>
      </c>
      <c r="G460" t="s">
        <v>13</v>
      </c>
      <c r="H460">
        <v>2020</v>
      </c>
      <c r="I460" t="s">
        <v>14</v>
      </c>
      <c r="J460" t="s">
        <v>15</v>
      </c>
    </row>
    <row r="461" spans="1:10" x14ac:dyDescent="0.25">
      <c r="A461" t="s">
        <v>10</v>
      </c>
      <c r="B461" t="s">
        <v>472</v>
      </c>
      <c r="C461" t="s">
        <v>12</v>
      </c>
      <c r="D461">
        <v>484350</v>
      </c>
      <c r="E461" t="str">
        <f>"0484350"</f>
        <v>0484350</v>
      </c>
      <c r="F461">
        <v>0</v>
      </c>
      <c r="G461" t="s">
        <v>13</v>
      </c>
      <c r="H461">
        <v>2020</v>
      </c>
      <c r="I461" t="s">
        <v>14</v>
      </c>
      <c r="J461" t="s">
        <v>15</v>
      </c>
    </row>
    <row r="462" spans="1:10" x14ac:dyDescent="0.25">
      <c r="A462" t="s">
        <v>10</v>
      </c>
      <c r="B462" t="s">
        <v>473</v>
      </c>
      <c r="C462" t="s">
        <v>12</v>
      </c>
      <c r="D462">
        <v>484980</v>
      </c>
      <c r="E462" t="str">
        <f>"0484980"</f>
        <v>0484980</v>
      </c>
      <c r="F462">
        <v>586</v>
      </c>
      <c r="G462" t="s">
        <v>13</v>
      </c>
      <c r="H462">
        <v>2020</v>
      </c>
      <c r="I462" t="s">
        <v>14</v>
      </c>
      <c r="J462" t="s">
        <v>15</v>
      </c>
    </row>
    <row r="463" spans="1:10" x14ac:dyDescent="0.25">
      <c r="A463" t="s">
        <v>10</v>
      </c>
      <c r="B463" t="s">
        <v>474</v>
      </c>
      <c r="C463" t="s">
        <v>12</v>
      </c>
      <c r="D463">
        <v>485260</v>
      </c>
      <c r="E463" t="str">
        <f>"0485260"</f>
        <v>0485260</v>
      </c>
      <c r="F463">
        <v>436</v>
      </c>
      <c r="G463" t="s">
        <v>13</v>
      </c>
      <c r="H463">
        <v>2020</v>
      </c>
      <c r="I463" t="s">
        <v>14</v>
      </c>
      <c r="J463" t="s">
        <v>15</v>
      </c>
    </row>
    <row r="464" spans="1:10" x14ac:dyDescent="0.25">
      <c r="A464" t="s">
        <v>10</v>
      </c>
      <c r="B464" t="s">
        <v>475</v>
      </c>
      <c r="C464" t="s">
        <v>12</v>
      </c>
      <c r="D464">
        <v>485330</v>
      </c>
      <c r="E464" t="str">
        <f>"0485330"</f>
        <v>0485330</v>
      </c>
      <c r="F464">
        <v>269</v>
      </c>
      <c r="G464" t="s">
        <v>13</v>
      </c>
      <c r="H464">
        <v>2020</v>
      </c>
      <c r="I464" t="s">
        <v>14</v>
      </c>
      <c r="J464" t="s">
        <v>15</v>
      </c>
    </row>
    <row r="465" spans="1:10" x14ac:dyDescent="0.25">
      <c r="A465" t="s">
        <v>10</v>
      </c>
      <c r="B465" t="s">
        <v>476</v>
      </c>
      <c r="C465" t="s">
        <v>12</v>
      </c>
      <c r="D465">
        <v>485400</v>
      </c>
      <c r="E465" t="str">
        <f>"0485400"</f>
        <v>0485400</v>
      </c>
      <c r="F465">
        <v>6985</v>
      </c>
      <c r="G465" t="s">
        <v>13</v>
      </c>
      <c r="H465">
        <v>2020</v>
      </c>
      <c r="I465" t="s">
        <v>14</v>
      </c>
      <c r="J465" t="s">
        <v>15</v>
      </c>
    </row>
    <row r="466" spans="1:10" x14ac:dyDescent="0.25">
      <c r="A466" t="s">
        <v>10</v>
      </c>
      <c r="B466" t="s">
        <v>477</v>
      </c>
      <c r="C466" t="s">
        <v>12</v>
      </c>
      <c r="D466">
        <v>485470</v>
      </c>
      <c r="E466" t="str">
        <f>"0485470"</f>
        <v>0485470</v>
      </c>
      <c r="F466">
        <v>48</v>
      </c>
      <c r="G466" t="s">
        <v>13</v>
      </c>
      <c r="H466">
        <v>2020</v>
      </c>
      <c r="I466" t="s">
        <v>14</v>
      </c>
      <c r="J466" t="s">
        <v>15</v>
      </c>
    </row>
    <row r="467" spans="1:10" x14ac:dyDescent="0.25">
      <c r="A467" t="s">
        <v>10</v>
      </c>
      <c r="B467" t="s">
        <v>478</v>
      </c>
      <c r="C467" t="s">
        <v>12</v>
      </c>
      <c r="D467">
        <v>485540</v>
      </c>
      <c r="E467" t="str">
        <f>"0485540"</f>
        <v>0485540</v>
      </c>
      <c r="F467">
        <v>98461</v>
      </c>
      <c r="G467" t="s">
        <v>13</v>
      </c>
      <c r="H467">
        <v>2020</v>
      </c>
      <c r="I467" t="s">
        <v>14</v>
      </c>
      <c r="J467" t="s">
        <v>15</v>
      </c>
    </row>
    <row r="468" spans="1:10" x14ac:dyDescent="0.25">
      <c r="A468" t="s">
        <v>10</v>
      </c>
      <c r="B468" t="s">
        <v>479</v>
      </c>
      <c r="C468" t="s">
        <v>12</v>
      </c>
      <c r="D468">
        <v>485680</v>
      </c>
      <c r="E468" t="str">
        <f>"0485680"</f>
        <v>0485680</v>
      </c>
      <c r="F468">
        <v>288</v>
      </c>
      <c r="G468" t="s">
        <v>13</v>
      </c>
      <c r="H468">
        <v>2020</v>
      </c>
      <c r="I468" t="s">
        <v>14</v>
      </c>
      <c r="J46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Population2019_2023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2025-11-16T22:22:35Z</dcterms:created>
  <dcterms:modified xsi:type="dcterms:W3CDTF">2025-11-17T01:07:03Z</dcterms:modified>
</cp:coreProperties>
</file>